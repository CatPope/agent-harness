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bookViews>
    <workbookView xWindow="0" yWindow="0" windowWidth="21570" windowHeight="13260"/>
  </bookViews>
  <sheets>
    <sheet name="일정 관리" sheetId="1" r:id="rId1"/>
    <sheet name="인원별" sheetId="2" r:id="rId2"/>
    <sheet name="용어 사전" sheetId="3" r:id="rId3"/>
    <sheet name="설정" sheetId="4" state="hidden" r:id="rId4"/>
    <sheet name="_서식" sheetId="5" state="hidden" r:id="rId5"/>
  </sheets>
  <functionGroups builtInGroupCount="18"/>
  <calcPr calcId="162913"/>
</workbook>
</file>

<file path=xl/calcChain.xml><?xml version="1.0" encoding="utf-8"?>
<calcChain xmlns="http://schemas.openxmlformats.org/spreadsheetml/2006/main">
  <c r="I4" i="5" l="1"/>
  <c r="I49" i="2"/>
  <c r="L48" i="2"/>
  <c r="K48" i="2"/>
  <c r="J48" i="2"/>
  <c r="I48" i="2"/>
  <c r="H48" i="2"/>
  <c r="C48" i="2"/>
  <c r="A48" i="2"/>
  <c r="L47" i="2"/>
  <c r="K47" i="2"/>
  <c r="J47" i="2"/>
  <c r="I47" i="2"/>
  <c r="H47" i="2"/>
  <c r="C47" i="2"/>
  <c r="A47" i="2"/>
  <c r="L46" i="2"/>
  <c r="K46" i="2"/>
  <c r="J46" i="2"/>
  <c r="I46" i="2"/>
  <c r="I43" i="2" s="1"/>
  <c r="H46" i="2"/>
  <c r="C46" i="2"/>
  <c r="A46" i="2"/>
  <c r="L45" i="2"/>
  <c r="K45" i="2"/>
  <c r="J45" i="2"/>
  <c r="I45" i="2"/>
  <c r="H45" i="2"/>
  <c r="C45" i="2"/>
  <c r="A45" i="2"/>
  <c r="L44" i="2"/>
  <c r="K44" i="2"/>
  <c r="J44" i="2"/>
  <c r="I44" i="2"/>
  <c r="H44" i="2"/>
  <c r="C44" i="2"/>
  <c r="A44" i="2"/>
  <c r="L42" i="2"/>
  <c r="K42" i="2"/>
  <c r="J42" i="2"/>
  <c r="I42" i="2"/>
  <c r="H42" i="2"/>
  <c r="C42" i="2"/>
  <c r="A42" i="2"/>
  <c r="L41" i="2"/>
  <c r="K41" i="2"/>
  <c r="J41" i="2"/>
  <c r="I41" i="2"/>
  <c r="H41" i="2"/>
  <c r="C41" i="2"/>
  <c r="A41" i="2"/>
  <c r="L40" i="2"/>
  <c r="K40" i="2"/>
  <c r="J40" i="2"/>
  <c r="I40" i="2"/>
  <c r="H40" i="2"/>
  <c r="C40" i="2"/>
  <c r="A40" i="2"/>
  <c r="L39" i="2"/>
  <c r="K39" i="2"/>
  <c r="J39" i="2"/>
  <c r="I39" i="2"/>
  <c r="H39" i="2"/>
  <c r="C39" i="2"/>
  <c r="A39" i="2"/>
  <c r="L38" i="2"/>
  <c r="K38" i="2"/>
  <c r="J38" i="2"/>
  <c r="I38" i="2"/>
  <c r="I37" i="2" s="1"/>
  <c r="H38" i="2"/>
  <c r="C38" i="2"/>
  <c r="A38" i="2"/>
  <c r="L36" i="2"/>
  <c r="K36" i="2"/>
  <c r="J36" i="2"/>
  <c r="I36" i="2"/>
  <c r="H36" i="2"/>
  <c r="C36" i="2"/>
  <c r="A36" i="2"/>
  <c r="L35" i="2"/>
  <c r="K35" i="2"/>
  <c r="J35" i="2"/>
  <c r="I35" i="2"/>
  <c r="H35" i="2"/>
  <c r="C35" i="2"/>
  <c r="A35" i="2"/>
  <c r="L34" i="2"/>
  <c r="K34" i="2"/>
  <c r="J34" i="2"/>
  <c r="I34" i="2"/>
  <c r="H34" i="2"/>
  <c r="C34" i="2"/>
  <c r="A34" i="2"/>
  <c r="L33" i="2"/>
  <c r="K33" i="2"/>
  <c r="J33" i="2"/>
  <c r="I33" i="2"/>
  <c r="H33" i="2"/>
  <c r="C33" i="2"/>
  <c r="A33" i="2"/>
  <c r="L32" i="2"/>
  <c r="K32" i="2"/>
  <c r="J32" i="2"/>
  <c r="I32" i="2"/>
  <c r="H32" i="2"/>
  <c r="C32" i="2"/>
  <c r="A32" i="2"/>
  <c r="L31" i="2"/>
  <c r="K31" i="2"/>
  <c r="J31" i="2"/>
  <c r="I31" i="2"/>
  <c r="H31" i="2"/>
  <c r="C31" i="2"/>
  <c r="A31" i="2"/>
  <c r="L30" i="2"/>
  <c r="K30" i="2"/>
  <c r="J30" i="2"/>
  <c r="I30" i="2"/>
  <c r="I27" i="2" s="1"/>
  <c r="H30" i="2"/>
  <c r="C30" i="2"/>
  <c r="A30" i="2"/>
  <c r="L29" i="2"/>
  <c r="K29" i="2"/>
  <c r="J29" i="2"/>
  <c r="I29" i="2"/>
  <c r="H29" i="2"/>
  <c r="C29" i="2"/>
  <c r="A29" i="2"/>
  <c r="L28" i="2"/>
  <c r="K28" i="2"/>
  <c r="J28" i="2"/>
  <c r="I28" i="2"/>
  <c r="H28" i="2"/>
  <c r="C28" i="2"/>
  <c r="A28" i="2"/>
  <c r="L26" i="2"/>
  <c r="K26" i="2"/>
  <c r="J26" i="2"/>
  <c r="I26" i="2"/>
  <c r="H26" i="2"/>
  <c r="C26" i="2"/>
  <c r="A26" i="2"/>
  <c r="L25" i="2"/>
  <c r="K25" i="2"/>
  <c r="J25" i="2"/>
  <c r="I25" i="2"/>
  <c r="H25" i="2"/>
  <c r="C25" i="2"/>
  <c r="A25" i="2"/>
  <c r="L24" i="2"/>
  <c r="K24" i="2"/>
  <c r="J24" i="2"/>
  <c r="I24" i="2"/>
  <c r="H24" i="2"/>
  <c r="C24" i="2"/>
  <c r="A24" i="2"/>
  <c r="L23" i="2"/>
  <c r="K23" i="2"/>
  <c r="J23" i="2"/>
  <c r="I23" i="2"/>
  <c r="H23" i="2"/>
  <c r="C23" i="2"/>
  <c r="A23" i="2"/>
  <c r="L22" i="2"/>
  <c r="K22" i="2"/>
  <c r="J22" i="2"/>
  <c r="I22" i="2"/>
  <c r="H22" i="2"/>
  <c r="C22" i="2"/>
  <c r="A22" i="2"/>
  <c r="L21" i="2"/>
  <c r="K21" i="2"/>
  <c r="J21" i="2"/>
  <c r="I21" i="2"/>
  <c r="H21" i="2"/>
  <c r="C21" i="2"/>
  <c r="A21" i="2"/>
  <c r="L20" i="2"/>
  <c r="K20" i="2"/>
  <c r="J20" i="2"/>
  <c r="I20" i="2"/>
  <c r="H20" i="2"/>
  <c r="C20" i="2"/>
  <c r="A20" i="2"/>
  <c r="L19" i="2"/>
  <c r="K19" i="2"/>
  <c r="J19" i="2"/>
  <c r="I19" i="2"/>
  <c r="H19" i="2"/>
  <c r="C19" i="2"/>
  <c r="A19" i="2"/>
  <c r="L18" i="2"/>
  <c r="K18" i="2"/>
  <c r="J18" i="2"/>
  <c r="I18" i="2"/>
  <c r="H18" i="2"/>
  <c r="C18" i="2"/>
  <c r="A18" i="2"/>
  <c r="L17" i="2"/>
  <c r="K17" i="2"/>
  <c r="J17" i="2"/>
  <c r="I17" i="2"/>
  <c r="H17" i="2"/>
  <c r="C17" i="2"/>
  <c r="A17" i="2"/>
  <c r="L16" i="2"/>
  <c r="K16" i="2"/>
  <c r="J16" i="2"/>
  <c r="I16" i="2"/>
  <c r="H16" i="2"/>
  <c r="C16" i="2"/>
  <c r="A16" i="2"/>
  <c r="L15" i="2"/>
  <c r="K15" i="2"/>
  <c r="J15" i="2"/>
  <c r="I15" i="2"/>
  <c r="H15" i="2"/>
  <c r="C15" i="2"/>
  <c r="A15" i="2"/>
  <c r="L14" i="2"/>
  <c r="K14" i="2"/>
  <c r="J14" i="2"/>
  <c r="I14" i="2"/>
  <c r="H14" i="2"/>
  <c r="C14" i="2"/>
  <c r="A14" i="2"/>
  <c r="L13" i="2"/>
  <c r="K13" i="2"/>
  <c r="J13" i="2"/>
  <c r="I13" i="2"/>
  <c r="H13" i="2"/>
  <c r="C13" i="2"/>
  <c r="A13" i="2"/>
  <c r="L12" i="2"/>
  <c r="K12" i="2"/>
  <c r="J12" i="2"/>
  <c r="I12" i="2"/>
  <c r="H12" i="2"/>
  <c r="C12" i="2"/>
  <c r="A12" i="2"/>
  <c r="L11" i="2"/>
  <c r="K11" i="2"/>
  <c r="J11" i="2"/>
  <c r="I11" i="2"/>
  <c r="H11" i="2"/>
  <c r="C11" i="2"/>
  <c r="A11" i="2"/>
  <c r="L10" i="2"/>
  <c r="K10" i="2"/>
  <c r="J10" i="2"/>
  <c r="I10" i="2"/>
  <c r="H10" i="2"/>
  <c r="C10" i="2"/>
  <c r="A10" i="2"/>
  <c r="L9" i="2"/>
  <c r="K9" i="2"/>
  <c r="J9" i="2"/>
  <c r="I9" i="2"/>
  <c r="I8" i="2" s="1"/>
  <c r="H9" i="2"/>
  <c r="C9" i="2"/>
  <c r="A9" i="2"/>
  <c r="I43" i="1"/>
  <c r="I37" i="1"/>
  <c r="I29" i="1"/>
  <c r="I23" i="1"/>
  <c r="I13" i="1"/>
  <c r="I8" i="1"/>
</calcChain>
</file>

<file path=xl/sharedStrings.xml><?xml version="1.0" encoding="utf-8"?>
<sst xmlns="http://schemas.openxmlformats.org/spreadsheetml/2006/main" count="234" uniqueCount="152">
  <si>
    <t>주간발표회 일정 관리</t>
  </si>
  <si>
    <t>주간발표회 모임 관리 웹사이트 개발</t>
  </si>
  <si>
    <t>Should — 1차 오픈에 꼭 필요  (우선순위 칸에 S)</t>
  </si>
  <si>
    <t>1차 개발(필수 기능) · 9주 (2026-09-21 ~ 2026-11-20) · 작성 2026-09-24 · v2.5.0</t>
  </si>
  <si>
    <t>Could — 일정이 밀리면 2차로 미룸  (우선순위 칸에 C)</t>
  </si>
  <si>
    <t>번호</t>
  </si>
  <si>
    <t>작업 제목</t>
  </si>
  <si>
    <t>담당자</t>
  </si>
  <si>
    <t>완료 비율</t>
  </si>
  <si>
    <t>우선
순위</t>
  </si>
  <si>
    <t>시작주</t>
  </si>
  <si>
    <t>끝주</t>
  </si>
  <si>
    <t>9월</t>
  </si>
  <si>
    <t>10월</t>
  </si>
  <si>
    <t>11월</t>
  </si>
  <si>
    <t>1W
09/21</t>
  </si>
  <si>
    <t>2W
09/28</t>
  </si>
  <si>
    <t>3W
10/05</t>
  </si>
  <si>
    <t>4W
10/12</t>
  </si>
  <si>
    <t>5W
10/19</t>
  </si>
  <si>
    <t>6W
10/26</t>
  </si>
  <si>
    <t>7W
11/02</t>
  </si>
  <si>
    <t>8W
11/09</t>
  </si>
  <si>
    <t>9W
11/16</t>
  </si>
  <si>
    <t>1</t>
  </si>
  <si>
    <t>프로젝트 관리</t>
  </si>
  <si>
    <t>1.1</t>
  </si>
  <si>
    <t>제안서·분업 확정</t>
  </si>
  <si>
    <t>홍길동</t>
  </si>
  <si>
    <t>S</t>
  </si>
  <si>
    <t>1.2</t>
  </si>
  <si>
    <t>WBS 작성·주간 진척 점검</t>
  </si>
  <si>
    <t>1.3</t>
  </si>
  <si>
    <t>GitHub 레포 운영 규칙 (브랜치·PR·이슈)</t>
  </si>
  <si>
    <t>C</t>
  </si>
  <si>
    <t>1.4</t>
  </si>
  <si>
    <t>1차 회고·2차 범위 정리</t>
  </si>
  <si>
    <t>전원</t>
  </si>
  <si>
    <t>2</t>
  </si>
  <si>
    <t>요구분석 및 설계</t>
  </si>
  <si>
    <t>2.1</t>
  </si>
  <si>
    <t>요구사항 정의 (필수 기능 5종)</t>
  </si>
  <si>
    <t>2.2</t>
  </si>
  <si>
    <t>기술 스택 선정</t>
  </si>
  <si>
    <t>홍길동, 김철수</t>
  </si>
  <si>
    <t>2.3</t>
  </si>
  <si>
    <t>시스템 아키텍처 설계</t>
  </si>
  <si>
    <t>2.4</t>
  </si>
  <si>
    <t>데이터 모델 설계·ERD</t>
  </si>
  <si>
    <t>2.5</t>
  </si>
  <si>
    <t>API 설계</t>
  </si>
  <si>
    <t>2.6</t>
  </si>
  <si>
    <t>와이어프레임 초안</t>
  </si>
  <si>
    <t>2.7</t>
  </si>
  <si>
    <t>와이어프레임 설계</t>
  </si>
  <si>
    <t>이영희</t>
  </si>
  <si>
    <t>2.8</t>
  </si>
  <si>
    <t>디자인 시안 구현 (AI 활용)</t>
  </si>
  <si>
    <t>김철수</t>
  </si>
  <si>
    <t>2.9</t>
  </si>
  <si>
    <t>디자인 시안 검수</t>
  </si>
  <si>
    <t>3</t>
  </si>
  <si>
    <t>인프라 구축</t>
  </si>
  <si>
    <t>3.1</t>
  </si>
  <si>
    <t>미니PC 서버 구성 (OS·계정·방화벽)</t>
  </si>
  <si>
    <t>3.2</t>
  </si>
  <si>
    <t>도메인 구매·DNS·HTTPS 인증서</t>
  </si>
  <si>
    <t>3.3</t>
  </si>
  <si>
    <t>DB·파일 저장소·백업 구성</t>
  </si>
  <si>
    <t>3.4</t>
  </si>
  <si>
    <t>배포 자동화 (CI/CD)</t>
  </si>
  <si>
    <t>3.5</t>
  </si>
  <si>
    <t>운영 점검 (로그·장애 알림)</t>
  </si>
  <si>
    <t>4</t>
  </si>
  <si>
    <t>기능 개발 (서버 + 화면)</t>
  </si>
  <si>
    <t>4.1</t>
  </si>
  <si>
    <t>프로젝트 골격·개발환경</t>
  </si>
  <si>
    <t>4.2</t>
  </si>
  <si>
    <t>공통 레이아웃·반응형 (크로스 플랫폼)</t>
  </si>
  <si>
    <t>4.3</t>
  </si>
  <si>
    <t>회원가입·로그인</t>
  </si>
  <si>
    <t>4.4</t>
  </si>
  <si>
    <t>모임 일정 관리</t>
  </si>
  <si>
    <t>4.5</t>
  </si>
  <si>
    <t>파일 업로드·자료 공유</t>
  </si>
  <si>
    <t>박민수</t>
  </si>
  <si>
    <t>4.6</t>
  </si>
  <si>
    <t>디스코드 공지 (공지 양식 적용)</t>
  </si>
  <si>
    <t>4.7</t>
  </si>
  <si>
    <t>관리자 페이지</t>
  </si>
  <si>
    <t>5</t>
  </si>
  <si>
    <t>사용자 테스트 및 오픈</t>
  </si>
  <si>
    <t>5.1</t>
  </si>
  <si>
    <t>사용자 테스트 시나리오 작성</t>
  </si>
  <si>
    <t>김철수, 박민수, 홍길동</t>
  </si>
  <si>
    <t>5.2</t>
  </si>
  <si>
    <t>기능별 사용자 테스트 (완성되는 대로)</t>
  </si>
  <si>
    <t>5.3</t>
  </si>
  <si>
    <t>크로스 플랫폼 확인 (PC·모바일 브라우저)</t>
  </si>
  <si>
    <t>5.4</t>
  </si>
  <si>
    <t>버그 수정</t>
  </si>
  <si>
    <t>김철수, 박민수</t>
  </si>
  <si>
    <t>5.5</t>
  </si>
  <si>
    <t>운영 배포·1차 오픈</t>
  </si>
  <si>
    <t>전체 진척률</t>
  </si>
  <si>
    <t>주간발표회 인원별 할 일</t>
  </si>
  <si>
    <t>이 시트는 열 때마다 일정 관리 시트에서 다시 만들어진다. 여기서 값을 고치면 일정 관리 시트에 써 넣어진다 (매크로 필요).</t>
  </si>
  <si>
    <t>홍길동 — 프로젝트 관리 · 인프라 · 설계 (18건)</t>
  </si>
  <si>
    <t>김철수 — 설계 · 개발 (AI 활용 시안 구현 포함) (9건)</t>
  </si>
  <si>
    <t>이영희 — 와이어프레임 · 사용자 입장의 테스터 (5건)</t>
  </si>
  <si>
    <t>박민수 — 개발 (파일 업로드 · 디스코드 공지) (5건)</t>
  </si>
  <si>
    <t>용어 사전</t>
  </si>
  <si>
    <t>1차 개발</t>
  </si>
  <si>
    <t>필수 기능(디스코드 공지·모임 일정 관리·파일 업로드·관리자 페이지·회원가입/로그인)을 오픈하는 단계. 기간은 2026-09-21 ~ 2026-11-20 (9주).</t>
  </si>
  <si>
    <t>2차 개발</t>
  </si>
  <si>
    <t>선택 기능 일부를 붙이는 단계. 범위와 기한은 1차 회고에서 정한다.</t>
  </si>
  <si>
    <t>Should / Could</t>
  </si>
  <si>
    <t>Should(초록)는 1차 오픈에 꼭 필요한 작업, Could(노랑)는 있으면 좋지만 일정이 밀리면 2차로 미룰 수 있는 작업. 우선순위 칸에 S/C 로 적으면 막대 색이 따라 바뀐다.</t>
  </si>
  <si>
    <t>시작주 · 끝주</t>
  </si>
  <si>
    <t>막대는 색칠하는 것이 아니라 시작주·끝주 숫자로 그려진다(조건부 서식). 숫자를 바꾸면 막대가 옮겨진다. 1W = 09/21 주.</t>
  </si>
  <si>
    <t>인원별 시트</t>
  </si>
  <si>
    <t>일정 관리 시트를 사람별로 다시 묶어 보여 준다. 시트를 열 때마다 원본에서 다시 만들어지고, 여기서 고친 값은 매크로가 일정 관리 시트에 써 넣는다. 매크로(콘텐츠 사용)를 켜야 동작한다.</t>
  </si>
  <si>
    <t>공통 빈 시간</t>
  </si>
  <si>
    <t>회원 각자가 등록한 일정을 겹쳐 보고, 모두가 비어 있는 시간대를 뽑은 것. 모임 날짜를 정하는 근거가 된다.</t>
  </si>
  <si>
    <t>공지 양식</t>
  </si>
  <si>
    <t>매번 쓰는 공지 문구의 틀. 빈칸만 채우면 공지가 완성되게 해서, 문구를 AI 에 가공 요청하던 수고를 없앤다.</t>
  </si>
  <si>
    <t>디스코드 웹훅</t>
  </si>
  <si>
    <t>외부 프로그램이 디스코드 채널에 메시지를 올리는 주소. 봇 없이도 공지를 보낼 수 있다.</t>
  </si>
  <si>
    <t>미니PC 서버</t>
  </si>
  <si>
    <t>모임이 직접 운영하는 소형 PC 서버. 웹사이트·DB·업로드 파일이 여기에 올라간다.</t>
  </si>
  <si>
    <t>크로스 플랫폼</t>
  </si>
  <si>
    <t>PC·모바일 등 기기와 브라우저가 달라도 같은 기능을 쓸 수 있는 것. 1차에서는 반응형 웹으로 대응한다.</t>
  </si>
  <si>
    <t>디자인 시안</t>
  </si>
  <si>
    <t>와이어프레임(이영희)을 바탕으로 AI 를 써서 만든 화면 초안(김철수). 이영희이 사용자 입장에서 검수한다.</t>
  </si>
  <si>
    <t>사용자 테스트</t>
  </si>
  <si>
    <t>개발자가 아닌 사용자 입장에서 기능을 써 보고 불편·오류를 적는 것. 이영희이 맡는다.</t>
  </si>
  <si>
    <t>버퍼</t>
  </si>
  <si>
    <t>일정이 밀릴 때를 대비해 비워 둔 기간. 1차는 9주차를 테스트·수정·오픈 전용으로 둔다.</t>
  </si>
  <si>
    <t>임계경로</t>
  </si>
  <si>
    <t>가장 긴 의존 사슬. 이 경로가 밀리면 전체 일정이 밀린다. 본 프로젝트는 기술 스택 선정 → 프로젝트 골격 → 회원가입·로그인 → 기능 개발(개발자 1명) → 사용자 테스트 → 운영 배포.</t>
  </si>
  <si>
    <t>문서 버전</t>
  </si>
  <si>
    <t>X.Y.Z. X 는 기간·범위·구조가 바뀔 때, Y 는 항목·배분·시트 기능이 바뀔 때, Z 는 색·서식·오탈자 수정.</t>
  </si>
  <si>
    <t>이름</t>
  </si>
  <si>
    <t>역할</t>
  </si>
  <si>
    <t>비고</t>
  </si>
  <si>
    <t>프로젝트 관리 · 인프라 · 설계</t>
  </si>
  <si>
    <t>설계 · 개발 (AI 활용 시안 구현 포함)</t>
  </si>
  <si>
    <t>와이어프레임 · 사용자 입장의 테스터</t>
  </si>
  <si>
    <t>개발 (파일 업로드 · 디스코드 공지)</t>
  </si>
  <si>
    <t>구분 행 서식</t>
  </si>
  <si>
    <t>항목 행 서식</t>
  </si>
  <si>
    <t>합계 행 서식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</si>
</sst>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>
    <font>
      <sz val="11"/>
      <color theme="1"/>
      <name val="맑은 고딕"/>
      <family val="2"/>
      <scheme val="minor"/>
    </font>
    <font>
      <b/>
      <sz val="30"/>
      <color rgb="FF0B5394"/>
      <name val="Nanum Gothic"/>
    </font>
    <font>
      <b/>
      <sz val="12"/>
      <name val="맑은 고딕 Semilight"/>
      <family val="3"/>
      <charset val="129"/>
    </font>
    <font>
      <sz val="8"/>
      <color rgb="FF434343"/>
      <name val="Nanum Gothic"/>
    </font>
    <font>
      <b/>
      <sz val="9"/>
      <color rgb="FF000000"/>
      <name val="Nanum Gothic"/>
    </font>
    <font>
      <b/>
      <sz val="9"/>
      <color rgb="FFFFFFFF"/>
      <name val="Nanum Gothic"/>
    </font>
    <font>
      <b/>
      <sz val="11"/>
      <name val="Nanum Gothic"/>
    </font>
    <font>
      <b/>
      <sz val="11"/>
      <name val="맑은 고딕"/>
      <family val="3"/>
      <charset val="129"/>
    </font>
    <font>
      <sz val="10"/>
      <color rgb="FF434343"/>
      <name val="Nanum Gothic"/>
    </font>
    <font>
      <sz val="10"/>
      <color rgb="FF434343"/>
      <name val="맑은 고딕"/>
      <family val="3"/>
      <charset val="129"/>
    </font>
    <font>
      <b/>
      <sz val="10"/>
      <color rgb="FF0B5394"/>
      <name val="맑은 고딕"/>
      <family val="3"/>
      <charset val="129"/>
    </font>
    <font>
      <b/>
      <sz val="10"/>
      <color rgb="FF0B5394"/>
      <name val="Nanum Gothic"/>
    </font>
    <font>
      <b/>
      <sz val="20"/>
      <color rgb="FF0B5394"/>
      <name val="Nanum Gothic"/>
    </font>
    <font>
      <b/>
      <sz val="10"/>
      <color rgb="FF434343"/>
      <name val="Nanum Gothic"/>
    </font>
    <font>
      <sz val="6"/>
      <color rgb="FFFFFFFF"/>
      <name val="맑은 고딕"/>
      <family val="3"/>
      <charset val="129"/>
    </font>
    <font>
      <sz val="8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EFEFEF"/>
        <bgColor rgb="FFEFEFEF"/>
      </patternFill>
    </fill>
    <fill>
      <patternFill patternType="solid">
        <fgColor rgb="FF45818E"/>
        <bgColor rgb="FF45818E"/>
      </patternFill>
    </fill>
    <fill>
      <patternFill patternType="solid">
        <fgColor rgb="FFA2C4C9"/>
        <bgColor rgb="FFA2C4C9"/>
      </patternFill>
    </fill>
    <fill>
      <patternFill patternType="solid">
        <fgColor rgb="FFCCCCCC"/>
        <bgColor rgb="FFCCCCCC"/>
      </patternFill>
    </fill>
    <fill>
      <patternFill patternType="solid">
        <fgColor rgb="FFC6EFCE"/>
        <bgColor rgb="FFC6EFCE"/>
      </patternFill>
    </fill>
    <fill>
      <patternFill patternType="solid">
        <fgColor rgb="FFFFEB9C"/>
        <bgColor rgb="FFFFEB9C"/>
      </patternFill>
    </fill>
  </fills>
  <borders count="12">
    <border>
      <left/>
      <right/>
      <top/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/>
      <right/>
      <top/>
      <bottom style="thin">
        <color rgb="FFB7B7B7"/>
      </bottom>
      <diagonal/>
    </border>
    <border>
      <left/>
      <right/>
      <top/>
      <bottom style="thin">
        <color rgb="FFB7B7B7"/>
      </bottom>
      <diagonal/>
    </border>
    <border>
      <left/>
      <right/>
      <top/>
      <bottom style="thin">
        <color rgb="FFB7B7B7"/>
      </bottom>
      <diagonal/>
    </border>
    <border>
      <left/>
      <right/>
      <top style="thin">
        <color rgb="FFB7B7B7"/>
      </top>
      <bottom/>
      <diagonal/>
    </border>
    <border>
      <left/>
      <right style="thin">
        <color rgb="FFB7B7B7"/>
      </right>
      <top style="thin">
        <color rgb="FFB7B7B7"/>
      </top>
      <bottom/>
      <diagonal/>
    </border>
    <border>
      <left/>
      <right/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/>
      <top/>
      <bottom style="thin">
        <color rgb="FFB7B7B7"/>
      </bottom>
      <diagonal/>
    </border>
    <border>
      <left/>
      <right style="thin">
        <color rgb="FFB7B7B7"/>
      </right>
      <top/>
      <bottom style="thin">
        <color rgb="FFB7B7B7"/>
      </bottom>
      <diagonal/>
    </border>
    <border>
      <left style="thin">
        <color rgb="FFB7B7B7"/>
      </left>
      <right style="thin">
        <color rgb="FFB7B7B7"/>
      </right>
      <top/>
      <bottom style="thin">
        <color rgb="FFB7B7B7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/>
    <xf numFmtId="0" fontId="6" fillId="5" borderId="2" xfId="0" applyFont="1" applyFill="1" applyBorder="1"/>
    <xf numFmtId="0" fontId="0" fillId="5" borderId="2" xfId="0" applyFill="1" applyBorder="1"/>
    <xf numFmtId="9" fontId="6" fillId="5" borderId="2" xfId="0" applyNumberFormat="1" applyFont="1" applyFill="1" applyBorder="1" applyAlignment="1">
      <alignment horizontal="center"/>
    </xf>
    <xf numFmtId="0" fontId="8" fillId="0" borderId="2" xfId="0" applyFont="1" applyBorder="1" applyAlignment="1">
      <alignment horizontal="left"/>
    </xf>
    <xf numFmtId="0" fontId="0" fillId="0" borderId="2" xfId="0" applyBorder="1"/>
    <xf numFmtId="0" fontId="9" fillId="0" borderId="2" xfId="0" applyFont="1" applyBorder="1" applyAlignment="1">
      <alignment horizontal="center"/>
    </xf>
    <xf numFmtId="9" fontId="8" fillId="0" borderId="2" xfId="0" applyNumberFormat="1" applyFont="1" applyBorder="1" applyAlignment="1">
      <alignment horizontal="center"/>
    </xf>
    <xf numFmtId="9" fontId="11" fillId="0" borderId="0" xfId="0" applyNumberFormat="1" applyFont="1" applyAlignment="1">
      <alignment horizontal="center"/>
    </xf>
    <xf numFmtId="0" fontId="13" fillId="0" borderId="0" xfId="0" applyFont="1" applyAlignment="1">
      <alignment vertical="center"/>
    </xf>
    <xf numFmtId="0" fontId="9" fillId="0" borderId="0" xfId="0" applyFont="1" applyAlignment="1">
      <alignment vertical="center" wrapText="1"/>
    </xf>
    <xf numFmtId="0" fontId="14" fillId="0" borderId="0" xfId="0" applyFont="1"/>
    <xf numFmtId="0" fontId="0" fillId="6" borderId="0" xfId="0" applyFill="1"/>
    <xf numFmtId="0" fontId="0" fillId="7" borderId="0" xfId="0" applyFill="1"/>
    <xf numFmtId="0" fontId="6" fillId="5" borderId="2" xfId="0" applyFont="1" applyFill="1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 wrapText="1"/>
    </xf>
    <xf numFmtId="0" fontId="0" fillId="0" borderId="7" xfId="0" applyBorder="1"/>
    <xf numFmtId="0" fontId="0" fillId="0" borderId="8" xfId="0" applyBorder="1"/>
    <xf numFmtId="0" fontId="9" fillId="0" borderId="4" xfId="0" applyFont="1" applyBorder="1"/>
    <xf numFmtId="0" fontId="0" fillId="0" borderId="3" xfId="0" applyBorder="1"/>
    <xf numFmtId="0" fontId="7" fillId="5" borderId="4" xfId="0" applyFont="1" applyFill="1" applyBorder="1"/>
    <xf numFmtId="0" fontId="5" fillId="3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0" fillId="0" borderId="11" xfId="0" applyBorder="1"/>
    <xf numFmtId="0" fontId="0" fillId="0" borderId="6" xfId="0" applyBorder="1"/>
    <xf numFmtId="0" fontId="0" fillId="0" borderId="9" xfId="0" applyBorder="1"/>
    <xf numFmtId="0" fontId="0" fillId="0" borderId="10" xfId="0" applyBorder="1"/>
    <xf numFmtId="0" fontId="0" fillId="0" borderId="5" xfId="0" applyBorder="1"/>
    <xf numFmtId="0" fontId="1" fillId="0" borderId="0" xfId="0" applyFont="1" applyAlignment="1">
      <alignment vertical="center"/>
    </xf>
    <xf numFmtId="0" fontId="0" fillId="0" borderId="0" xfId="0"/>
    <xf numFmtId="0" fontId="10" fillId="0" borderId="0" xfId="0" applyFont="1"/>
    <xf numFmtId="0" fontId="12" fillId="0" borderId="0" xfId="0" applyFont="1" applyAlignment="1">
      <alignment vertical="center"/>
    </xf>
  </cellXfs>
  <cellStyles count="1">
    <cellStyle name="표준" xfId="0" builtinId="0"/>
  </cellStyles>
  <dxfs count="6">
    <dxf>
      <fill>
        <patternFill patternType="solid">
          <fgColor rgb="FFFFEB9C"/>
          <bgColor rgb="FFFFEB9C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C6EFCE"/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E43"/>
  <sheetViews>
    <sheetView showGridLines="0" tabSelected="1" zoomScale="70" workbookViewId="0">
      <pane xSplit="12" ySplit="7" topLeftCell="M8" activePane="bottomRight" state="frozen"/>
      <selection pane="topRight"/>
      <selection pane="bottomLeft"/>
      <selection pane="bottomRight"/>
    </sheetView>
  </sheetViews>
  <sheetFormatPr defaultRowHeight="16.5"/>
  <cols>
    <col min="1" max="1" width="6" customWidth="1"/>
    <col min="2" max="2" width="1.875" customWidth="1"/>
    <col min="3" max="3" width="2.625" customWidth="1"/>
    <col min="4" max="5" width="13" customWidth="1"/>
    <col min="6" max="6" width="2.375" customWidth="1"/>
    <col min="7" max="7" width="3.125" customWidth="1"/>
    <col min="8" max="8" width="19" customWidth="1"/>
    <col min="9" max="9" width="6.75" customWidth="1"/>
    <col min="10" max="12" width="6.5" customWidth="1"/>
    <col min="13" max="84" width="2.875" customWidth="1"/>
  </cols>
  <sheetData>
    <row r="1" spans="1:57">
      <c r="M1" s="14">
        <v>1</v>
      </c>
      <c r="N1" s="14">
        <v>1</v>
      </c>
      <c r="O1" s="14">
        <v>1</v>
      </c>
      <c r="P1" s="14">
        <v>1</v>
      </c>
      <c r="Q1" s="14">
        <v>1</v>
      </c>
      <c r="R1" s="14">
        <v>2</v>
      </c>
      <c r="S1" s="14">
        <v>2</v>
      </c>
      <c r="T1" s="14">
        <v>2</v>
      </c>
      <c r="U1" s="14">
        <v>2</v>
      </c>
      <c r="V1" s="14">
        <v>2</v>
      </c>
      <c r="W1" s="14">
        <v>3</v>
      </c>
      <c r="X1" s="14">
        <v>3</v>
      </c>
      <c r="Y1" s="14">
        <v>3</v>
      </c>
      <c r="Z1" s="14">
        <v>3</v>
      </c>
      <c r="AA1" s="14">
        <v>3</v>
      </c>
      <c r="AB1" s="14">
        <v>4</v>
      </c>
      <c r="AC1" s="14">
        <v>4</v>
      </c>
      <c r="AD1" s="14">
        <v>4</v>
      </c>
      <c r="AE1" s="14">
        <v>4</v>
      </c>
      <c r="AF1" s="14">
        <v>4</v>
      </c>
      <c r="AG1" s="14">
        <v>5</v>
      </c>
      <c r="AH1" s="14">
        <v>5</v>
      </c>
      <c r="AI1" s="14">
        <v>5</v>
      </c>
      <c r="AJ1" s="14">
        <v>5</v>
      </c>
      <c r="AK1" s="14">
        <v>5</v>
      </c>
      <c r="AL1" s="14">
        <v>6</v>
      </c>
      <c r="AM1" s="14">
        <v>6</v>
      </c>
      <c r="AN1" s="14">
        <v>6</v>
      </c>
      <c r="AO1" s="14">
        <v>6</v>
      </c>
      <c r="AP1" s="14">
        <v>6</v>
      </c>
      <c r="AQ1" s="14">
        <v>7</v>
      </c>
      <c r="AR1" s="14">
        <v>7</v>
      </c>
      <c r="AS1" s="14">
        <v>7</v>
      </c>
      <c r="AT1" s="14">
        <v>7</v>
      </c>
      <c r="AU1" s="14">
        <v>7</v>
      </c>
      <c r="AV1" s="14">
        <v>8</v>
      </c>
      <c r="AW1" s="14">
        <v>8</v>
      </c>
      <c r="AX1" s="14">
        <v>8</v>
      </c>
      <c r="AY1" s="14">
        <v>8</v>
      </c>
      <c r="AZ1" s="14">
        <v>8</v>
      </c>
      <c r="BA1" s="14">
        <v>9</v>
      </c>
      <c r="BB1" s="14">
        <v>9</v>
      </c>
      <c r="BC1" s="14">
        <v>9</v>
      </c>
      <c r="BD1" s="14">
        <v>9</v>
      </c>
      <c r="BE1" s="14">
        <v>9</v>
      </c>
    </row>
    <row r="2" spans="1:57" ht="17.25" customHeight="1">
      <c r="A2" s="32" t="s">
        <v>0</v>
      </c>
      <c r="B2" s="33"/>
      <c r="C2" s="33"/>
      <c r="D2" s="33"/>
      <c r="E2" s="33"/>
      <c r="F2" s="33"/>
      <c r="G2" s="33"/>
      <c r="H2" s="33"/>
      <c r="I2" s="33"/>
    </row>
    <row r="3" spans="1:57" ht="17.25" customHeight="1">
      <c r="A3" s="33"/>
      <c r="B3" s="33"/>
      <c r="C3" s="33"/>
      <c r="D3" s="33"/>
      <c r="E3" s="33"/>
      <c r="F3" s="33"/>
      <c r="G3" s="33"/>
      <c r="H3" s="33"/>
      <c r="I3" s="33"/>
    </row>
    <row r="4" spans="1:57" ht="17.25" customHeight="1">
      <c r="A4" s="2" t="s">
        <v>1</v>
      </c>
      <c r="R4" s="15"/>
      <c r="S4" s="3" t="s">
        <v>2</v>
      </c>
    </row>
    <row r="5" spans="1:57" ht="17.25" customHeight="1">
      <c r="A5" s="3" t="s">
        <v>3</v>
      </c>
      <c r="R5" s="16"/>
      <c r="S5" s="3" t="s">
        <v>4</v>
      </c>
    </row>
    <row r="6" spans="1:57" ht="17.25" customHeight="1">
      <c r="A6" s="26" t="s">
        <v>5</v>
      </c>
      <c r="B6" s="28"/>
      <c r="C6" s="26" t="s">
        <v>6</v>
      </c>
      <c r="D6" s="31"/>
      <c r="E6" s="31"/>
      <c r="F6" s="31"/>
      <c r="G6" s="28"/>
      <c r="H6" s="26" t="s">
        <v>7</v>
      </c>
      <c r="I6" s="26" t="s">
        <v>8</v>
      </c>
      <c r="J6" s="26" t="s">
        <v>9</v>
      </c>
      <c r="K6" s="26" t="s">
        <v>10</v>
      </c>
      <c r="L6" s="26" t="s">
        <v>11</v>
      </c>
      <c r="M6" s="25" t="s">
        <v>12</v>
      </c>
      <c r="N6" s="20"/>
      <c r="O6" s="20"/>
      <c r="P6" s="20"/>
      <c r="Q6" s="20"/>
      <c r="R6" s="20"/>
      <c r="S6" s="20"/>
      <c r="T6" s="20"/>
      <c r="U6" s="20"/>
      <c r="V6" s="21"/>
      <c r="W6" s="25" t="s">
        <v>13</v>
      </c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1"/>
      <c r="AQ6" s="25" t="s">
        <v>14</v>
      </c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1"/>
    </row>
    <row r="7" spans="1:57" ht="27.95" customHeight="1">
      <c r="A7" s="29"/>
      <c r="B7" s="30"/>
      <c r="C7" s="29"/>
      <c r="D7" s="23"/>
      <c r="E7" s="23"/>
      <c r="F7" s="23"/>
      <c r="G7" s="30"/>
      <c r="H7" s="27"/>
      <c r="I7" s="27"/>
      <c r="J7" s="27"/>
      <c r="K7" s="27"/>
      <c r="L7" s="27"/>
      <c r="M7" s="19" t="s">
        <v>15</v>
      </c>
      <c r="N7" s="20"/>
      <c r="O7" s="20"/>
      <c r="P7" s="20"/>
      <c r="Q7" s="21"/>
      <c r="R7" s="19" t="s">
        <v>16</v>
      </c>
      <c r="S7" s="20"/>
      <c r="T7" s="20"/>
      <c r="U7" s="20"/>
      <c r="V7" s="21"/>
      <c r="W7" s="19" t="s">
        <v>17</v>
      </c>
      <c r="X7" s="20"/>
      <c r="Y7" s="20"/>
      <c r="Z7" s="20"/>
      <c r="AA7" s="21"/>
      <c r="AB7" s="19" t="s">
        <v>18</v>
      </c>
      <c r="AC7" s="20"/>
      <c r="AD7" s="20"/>
      <c r="AE7" s="20"/>
      <c r="AF7" s="21"/>
      <c r="AG7" s="19" t="s">
        <v>19</v>
      </c>
      <c r="AH7" s="20"/>
      <c r="AI7" s="20"/>
      <c r="AJ7" s="20"/>
      <c r="AK7" s="21"/>
      <c r="AL7" s="19" t="s">
        <v>20</v>
      </c>
      <c r="AM7" s="20"/>
      <c r="AN7" s="20"/>
      <c r="AO7" s="20"/>
      <c r="AP7" s="21"/>
      <c r="AQ7" s="19" t="s">
        <v>21</v>
      </c>
      <c r="AR7" s="20"/>
      <c r="AS7" s="20"/>
      <c r="AT7" s="20"/>
      <c r="AU7" s="21"/>
      <c r="AV7" s="19" t="s">
        <v>22</v>
      </c>
      <c r="AW7" s="20"/>
      <c r="AX7" s="20"/>
      <c r="AY7" s="20"/>
      <c r="AZ7" s="21"/>
      <c r="BA7" s="19" t="s">
        <v>23</v>
      </c>
      <c r="BB7" s="20"/>
      <c r="BC7" s="20"/>
      <c r="BD7" s="20"/>
      <c r="BE7" s="21"/>
    </row>
    <row r="8" spans="1:57">
      <c r="A8" s="4" t="s">
        <v>24</v>
      </c>
      <c r="B8" s="5"/>
      <c r="C8" s="24" t="s">
        <v>25</v>
      </c>
      <c r="D8" s="23"/>
      <c r="E8" s="23"/>
      <c r="F8" s="23"/>
      <c r="G8" s="23"/>
      <c r="H8" s="6"/>
      <c r="I8" s="6">
        <f>AVERAGE(I9,I10,I11,I12)</f>
        <v>0.25</v>
      </c>
      <c r="J8" s="17"/>
      <c r="K8" s="17"/>
      <c r="L8" s="17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</row>
    <row r="9" spans="1:57">
      <c r="A9" s="7" t="s">
        <v>26</v>
      </c>
      <c r="B9" s="8"/>
      <c r="C9" s="22" t="s">
        <v>27</v>
      </c>
      <c r="D9" s="23"/>
      <c r="E9" s="23"/>
      <c r="F9" s="23"/>
      <c r="G9" s="23"/>
      <c r="H9" s="9" t="s">
        <v>28</v>
      </c>
      <c r="I9" s="10">
        <v>1</v>
      </c>
      <c r="J9" s="18" t="s">
        <v>29</v>
      </c>
      <c r="K9" s="18">
        <v>1</v>
      </c>
      <c r="L9" s="18">
        <v>1</v>
      </c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</row>
    <row r="10" spans="1:57">
      <c r="A10" s="7" t="s">
        <v>30</v>
      </c>
      <c r="B10" s="8"/>
      <c r="C10" s="22" t="s">
        <v>31</v>
      </c>
      <c r="D10" s="23"/>
      <c r="E10" s="23"/>
      <c r="F10" s="23"/>
      <c r="G10" s="23"/>
      <c r="H10" s="9" t="s">
        <v>28</v>
      </c>
      <c r="I10" s="10">
        <v>0</v>
      </c>
      <c r="J10" s="18" t="s">
        <v>29</v>
      </c>
      <c r="K10" s="18">
        <v>1</v>
      </c>
      <c r="L10" s="18">
        <v>9</v>
      </c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</row>
    <row r="11" spans="1:57">
      <c r="A11" s="7" t="s">
        <v>32</v>
      </c>
      <c r="B11" s="8"/>
      <c r="C11" s="22" t="s">
        <v>33</v>
      </c>
      <c r="D11" s="23"/>
      <c r="E11" s="23"/>
      <c r="F11" s="23"/>
      <c r="G11" s="23"/>
      <c r="H11" s="9" t="s">
        <v>28</v>
      </c>
      <c r="I11" s="10">
        <v>0</v>
      </c>
      <c r="J11" s="18" t="s">
        <v>34</v>
      </c>
      <c r="K11" s="18">
        <v>1</v>
      </c>
      <c r="L11" s="18">
        <v>1</v>
      </c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</row>
    <row r="12" spans="1:57">
      <c r="A12" s="7" t="s">
        <v>35</v>
      </c>
      <c r="B12" s="8"/>
      <c r="C12" s="22" t="s">
        <v>36</v>
      </c>
      <c r="D12" s="23"/>
      <c r="E12" s="23"/>
      <c r="F12" s="23"/>
      <c r="G12" s="23"/>
      <c r="H12" s="9" t="s">
        <v>37</v>
      </c>
      <c r="I12" s="10">
        <v>0</v>
      </c>
      <c r="J12" s="18" t="s">
        <v>34</v>
      </c>
      <c r="K12" s="18">
        <v>9</v>
      </c>
      <c r="L12" s="18">
        <v>9</v>
      </c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</row>
    <row r="13" spans="1:57">
      <c r="A13" s="4" t="s">
        <v>38</v>
      </c>
      <c r="B13" s="5"/>
      <c r="C13" s="24" t="s">
        <v>39</v>
      </c>
      <c r="D13" s="23"/>
      <c r="E13" s="23"/>
      <c r="F13" s="23"/>
      <c r="G13" s="23"/>
      <c r="H13" s="6"/>
      <c r="I13" s="6">
        <f>AVERAGE(I14,I15,I16,I17,I18,I19,I20,I21,I22)</f>
        <v>0</v>
      </c>
      <c r="J13" s="17"/>
      <c r="K13" s="17"/>
      <c r="L13" s="17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</row>
    <row r="14" spans="1:57">
      <c r="A14" s="7" t="s">
        <v>40</v>
      </c>
      <c r="B14" s="8"/>
      <c r="C14" s="22" t="s">
        <v>41</v>
      </c>
      <c r="D14" s="23"/>
      <c r="E14" s="23"/>
      <c r="F14" s="23"/>
      <c r="G14" s="23"/>
      <c r="H14" s="9" t="s">
        <v>28</v>
      </c>
      <c r="I14" s="10">
        <v>0</v>
      </c>
      <c r="J14" s="18" t="s">
        <v>29</v>
      </c>
      <c r="K14" s="18">
        <v>1</v>
      </c>
      <c r="L14" s="18">
        <v>1</v>
      </c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</row>
    <row r="15" spans="1:57">
      <c r="A15" s="7" t="s">
        <v>42</v>
      </c>
      <c r="B15" s="8"/>
      <c r="C15" s="22" t="s">
        <v>43</v>
      </c>
      <c r="D15" s="23"/>
      <c r="E15" s="23"/>
      <c r="F15" s="23"/>
      <c r="G15" s="23"/>
      <c r="H15" s="9" t="s">
        <v>44</v>
      </c>
      <c r="I15" s="10">
        <v>0</v>
      </c>
      <c r="J15" s="18" t="s">
        <v>29</v>
      </c>
      <c r="K15" s="18">
        <v>1</v>
      </c>
      <c r="L15" s="18">
        <v>1</v>
      </c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</row>
    <row r="16" spans="1:57">
      <c r="A16" s="7" t="s">
        <v>45</v>
      </c>
      <c r="B16" s="8"/>
      <c r="C16" s="22" t="s">
        <v>46</v>
      </c>
      <c r="D16" s="23"/>
      <c r="E16" s="23"/>
      <c r="F16" s="23"/>
      <c r="G16" s="23"/>
      <c r="H16" s="9" t="s">
        <v>28</v>
      </c>
      <c r="I16" s="10">
        <v>0</v>
      </c>
      <c r="J16" s="18" t="s">
        <v>29</v>
      </c>
      <c r="K16" s="18">
        <v>1</v>
      </c>
      <c r="L16" s="18">
        <v>2</v>
      </c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</row>
    <row r="17" spans="1:57">
      <c r="A17" s="7" t="s">
        <v>47</v>
      </c>
      <c r="B17" s="8"/>
      <c r="C17" s="22" t="s">
        <v>48</v>
      </c>
      <c r="D17" s="23"/>
      <c r="E17" s="23"/>
      <c r="F17" s="23"/>
      <c r="G17" s="23"/>
      <c r="H17" s="9" t="s">
        <v>28</v>
      </c>
      <c r="I17" s="10">
        <v>0</v>
      </c>
      <c r="J17" s="18" t="s">
        <v>29</v>
      </c>
      <c r="K17" s="18">
        <v>2</v>
      </c>
      <c r="L17" s="18">
        <v>2</v>
      </c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</row>
    <row r="18" spans="1:57">
      <c r="A18" s="7" t="s">
        <v>49</v>
      </c>
      <c r="B18" s="8"/>
      <c r="C18" s="22" t="s">
        <v>50</v>
      </c>
      <c r="D18" s="23"/>
      <c r="E18" s="23"/>
      <c r="F18" s="23"/>
      <c r="G18" s="23"/>
      <c r="H18" s="9" t="s">
        <v>28</v>
      </c>
      <c r="I18" s="10">
        <v>0</v>
      </c>
      <c r="J18" s="18" t="s">
        <v>29</v>
      </c>
      <c r="K18" s="18">
        <v>2</v>
      </c>
      <c r="L18" s="18">
        <v>2</v>
      </c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</row>
    <row r="19" spans="1:57">
      <c r="A19" s="7" t="s">
        <v>51</v>
      </c>
      <c r="B19" s="8"/>
      <c r="C19" s="22" t="s">
        <v>52</v>
      </c>
      <c r="D19" s="23"/>
      <c r="E19" s="23"/>
      <c r="F19" s="23"/>
      <c r="G19" s="23"/>
      <c r="H19" s="9" t="s">
        <v>28</v>
      </c>
      <c r="I19" s="10">
        <v>0</v>
      </c>
      <c r="J19" s="18" t="s">
        <v>29</v>
      </c>
      <c r="K19" s="18">
        <v>1</v>
      </c>
      <c r="L19" s="18">
        <v>2</v>
      </c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</row>
    <row r="20" spans="1:57">
      <c r="A20" s="7" t="s">
        <v>53</v>
      </c>
      <c r="B20" s="8"/>
      <c r="C20" s="22" t="s">
        <v>54</v>
      </c>
      <c r="D20" s="23"/>
      <c r="E20" s="23"/>
      <c r="F20" s="23"/>
      <c r="G20" s="23"/>
      <c r="H20" s="9" t="s">
        <v>55</v>
      </c>
      <c r="I20" s="10">
        <v>0</v>
      </c>
      <c r="J20" s="18" t="s">
        <v>29</v>
      </c>
      <c r="K20" s="18">
        <v>1</v>
      </c>
      <c r="L20" s="18">
        <v>2</v>
      </c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</row>
    <row r="21" spans="1:57">
      <c r="A21" s="7" t="s">
        <v>56</v>
      </c>
      <c r="B21" s="8"/>
      <c r="C21" s="22" t="s">
        <v>57</v>
      </c>
      <c r="D21" s="23"/>
      <c r="E21" s="23"/>
      <c r="F21" s="23"/>
      <c r="G21" s="23"/>
      <c r="H21" s="9" t="s">
        <v>58</v>
      </c>
      <c r="I21" s="10">
        <v>0</v>
      </c>
      <c r="J21" s="18" t="s">
        <v>29</v>
      </c>
      <c r="K21" s="18">
        <v>3</v>
      </c>
      <c r="L21" s="18">
        <v>3</v>
      </c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</row>
    <row r="22" spans="1:57">
      <c r="A22" s="7" t="s">
        <v>59</v>
      </c>
      <c r="B22" s="8"/>
      <c r="C22" s="22" t="s">
        <v>60</v>
      </c>
      <c r="D22" s="23"/>
      <c r="E22" s="23"/>
      <c r="F22" s="23"/>
      <c r="G22" s="23"/>
      <c r="H22" s="9" t="s">
        <v>55</v>
      </c>
      <c r="I22" s="10">
        <v>0</v>
      </c>
      <c r="J22" s="18" t="s">
        <v>29</v>
      </c>
      <c r="K22" s="18">
        <v>3</v>
      </c>
      <c r="L22" s="18">
        <v>4</v>
      </c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</row>
    <row r="23" spans="1:57">
      <c r="A23" s="4" t="s">
        <v>61</v>
      </c>
      <c r="B23" s="5"/>
      <c r="C23" s="24" t="s">
        <v>62</v>
      </c>
      <c r="D23" s="23"/>
      <c r="E23" s="23"/>
      <c r="F23" s="23"/>
      <c r="G23" s="23"/>
      <c r="H23" s="6"/>
      <c r="I23" s="6">
        <f>AVERAGE(I24,I25,I26,I27,I28)</f>
        <v>0</v>
      </c>
      <c r="J23" s="17"/>
      <c r="K23" s="17"/>
      <c r="L23" s="17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</row>
    <row r="24" spans="1:57">
      <c r="A24" s="7" t="s">
        <v>63</v>
      </c>
      <c r="B24" s="8"/>
      <c r="C24" s="22" t="s">
        <v>64</v>
      </c>
      <c r="D24" s="23"/>
      <c r="E24" s="23"/>
      <c r="F24" s="23"/>
      <c r="G24" s="23"/>
      <c r="H24" s="9" t="s">
        <v>28</v>
      </c>
      <c r="I24" s="10">
        <v>0</v>
      </c>
      <c r="J24" s="18" t="s">
        <v>29</v>
      </c>
      <c r="K24" s="18">
        <v>1</v>
      </c>
      <c r="L24" s="18">
        <v>2</v>
      </c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</row>
    <row r="25" spans="1:57">
      <c r="A25" s="7" t="s">
        <v>65</v>
      </c>
      <c r="B25" s="8"/>
      <c r="C25" s="22" t="s">
        <v>66</v>
      </c>
      <c r="D25" s="23"/>
      <c r="E25" s="23"/>
      <c r="F25" s="23"/>
      <c r="G25" s="23"/>
      <c r="H25" s="9" t="s">
        <v>28</v>
      </c>
      <c r="I25" s="10">
        <v>0</v>
      </c>
      <c r="J25" s="18" t="s">
        <v>29</v>
      </c>
      <c r="K25" s="18">
        <v>2</v>
      </c>
      <c r="L25" s="18">
        <v>2</v>
      </c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</row>
    <row r="26" spans="1:57">
      <c r="A26" s="7" t="s">
        <v>67</v>
      </c>
      <c r="B26" s="8"/>
      <c r="C26" s="22" t="s">
        <v>68</v>
      </c>
      <c r="D26" s="23"/>
      <c r="E26" s="23"/>
      <c r="F26" s="23"/>
      <c r="G26" s="23"/>
      <c r="H26" s="9" t="s">
        <v>28</v>
      </c>
      <c r="I26" s="10">
        <v>0</v>
      </c>
      <c r="J26" s="18" t="s">
        <v>29</v>
      </c>
      <c r="K26" s="18">
        <v>3</v>
      </c>
      <c r="L26" s="18">
        <v>3</v>
      </c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</row>
    <row r="27" spans="1:57">
      <c r="A27" s="7" t="s">
        <v>69</v>
      </c>
      <c r="B27" s="8"/>
      <c r="C27" s="22" t="s">
        <v>70</v>
      </c>
      <c r="D27" s="23"/>
      <c r="E27" s="23"/>
      <c r="F27" s="23"/>
      <c r="G27" s="23"/>
      <c r="H27" s="9" t="s">
        <v>28</v>
      </c>
      <c r="I27" s="10">
        <v>0</v>
      </c>
      <c r="J27" s="18" t="s">
        <v>34</v>
      </c>
      <c r="K27" s="18">
        <v>4</v>
      </c>
      <c r="L27" s="18">
        <v>4</v>
      </c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</row>
    <row r="28" spans="1:57">
      <c r="A28" s="7" t="s">
        <v>71</v>
      </c>
      <c r="B28" s="8"/>
      <c r="C28" s="22" t="s">
        <v>72</v>
      </c>
      <c r="D28" s="23"/>
      <c r="E28" s="23"/>
      <c r="F28" s="23"/>
      <c r="G28" s="23"/>
      <c r="H28" s="9" t="s">
        <v>28</v>
      </c>
      <c r="I28" s="10">
        <v>0</v>
      </c>
      <c r="J28" s="18" t="s">
        <v>34</v>
      </c>
      <c r="K28" s="18">
        <v>8</v>
      </c>
      <c r="L28" s="18">
        <v>8</v>
      </c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</row>
    <row r="29" spans="1:57">
      <c r="A29" s="4" t="s">
        <v>73</v>
      </c>
      <c r="B29" s="5"/>
      <c r="C29" s="24" t="s">
        <v>74</v>
      </c>
      <c r="D29" s="23"/>
      <c r="E29" s="23"/>
      <c r="F29" s="23"/>
      <c r="G29" s="23"/>
      <c r="H29" s="6"/>
      <c r="I29" s="6">
        <f>AVERAGE(I30,I31,I32,I33,I34,I35,I36)</f>
        <v>0</v>
      </c>
      <c r="J29" s="17"/>
      <c r="K29" s="17"/>
      <c r="L29" s="17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</row>
    <row r="30" spans="1:57">
      <c r="A30" s="7" t="s">
        <v>75</v>
      </c>
      <c r="B30" s="8"/>
      <c r="C30" s="22" t="s">
        <v>76</v>
      </c>
      <c r="D30" s="23"/>
      <c r="E30" s="23"/>
      <c r="F30" s="23"/>
      <c r="G30" s="23"/>
      <c r="H30" s="9" t="s">
        <v>58</v>
      </c>
      <c r="I30" s="10">
        <v>0</v>
      </c>
      <c r="J30" s="18" t="s">
        <v>29</v>
      </c>
      <c r="K30" s="18">
        <v>2</v>
      </c>
      <c r="L30" s="18">
        <v>3</v>
      </c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</row>
    <row r="31" spans="1:57">
      <c r="A31" s="7" t="s">
        <v>77</v>
      </c>
      <c r="B31" s="8"/>
      <c r="C31" s="22" t="s">
        <v>78</v>
      </c>
      <c r="D31" s="23"/>
      <c r="E31" s="23"/>
      <c r="F31" s="23"/>
      <c r="G31" s="23"/>
      <c r="H31" s="9" t="s">
        <v>58</v>
      </c>
      <c r="I31" s="10">
        <v>0</v>
      </c>
      <c r="J31" s="18" t="s">
        <v>29</v>
      </c>
      <c r="K31" s="18">
        <v>3</v>
      </c>
      <c r="L31" s="18">
        <v>4</v>
      </c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</row>
    <row r="32" spans="1:57">
      <c r="A32" s="7" t="s">
        <v>79</v>
      </c>
      <c r="B32" s="8"/>
      <c r="C32" s="22" t="s">
        <v>80</v>
      </c>
      <c r="D32" s="23"/>
      <c r="E32" s="23"/>
      <c r="F32" s="23"/>
      <c r="G32" s="23"/>
      <c r="H32" s="9" t="s">
        <v>58</v>
      </c>
      <c r="I32" s="10">
        <v>0</v>
      </c>
      <c r="J32" s="18" t="s">
        <v>29</v>
      </c>
      <c r="K32" s="18">
        <v>4</v>
      </c>
      <c r="L32" s="18">
        <v>4</v>
      </c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</row>
    <row r="33" spans="1:57">
      <c r="A33" s="7" t="s">
        <v>81</v>
      </c>
      <c r="B33" s="8"/>
      <c r="C33" s="22" t="s">
        <v>82</v>
      </c>
      <c r="D33" s="23"/>
      <c r="E33" s="23"/>
      <c r="F33" s="23"/>
      <c r="G33" s="23"/>
      <c r="H33" s="9" t="s">
        <v>58</v>
      </c>
      <c r="I33" s="10">
        <v>0</v>
      </c>
      <c r="J33" s="18" t="s">
        <v>29</v>
      </c>
      <c r="K33" s="18">
        <v>5</v>
      </c>
      <c r="L33" s="18">
        <v>6</v>
      </c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</row>
    <row r="34" spans="1:57">
      <c r="A34" s="7" t="s">
        <v>83</v>
      </c>
      <c r="B34" s="8"/>
      <c r="C34" s="22" t="s">
        <v>84</v>
      </c>
      <c r="D34" s="23"/>
      <c r="E34" s="23"/>
      <c r="F34" s="23"/>
      <c r="G34" s="23"/>
      <c r="H34" s="9" t="s">
        <v>85</v>
      </c>
      <c r="I34" s="10">
        <v>0</v>
      </c>
      <c r="J34" s="18" t="s">
        <v>29</v>
      </c>
      <c r="K34" s="18">
        <v>5</v>
      </c>
      <c r="L34" s="18">
        <v>6</v>
      </c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</row>
    <row r="35" spans="1:57">
      <c r="A35" s="7" t="s">
        <v>86</v>
      </c>
      <c r="B35" s="8"/>
      <c r="C35" s="22" t="s">
        <v>87</v>
      </c>
      <c r="D35" s="23"/>
      <c r="E35" s="23"/>
      <c r="F35" s="23"/>
      <c r="G35" s="23"/>
      <c r="H35" s="9" t="s">
        <v>85</v>
      </c>
      <c r="I35" s="10">
        <v>0</v>
      </c>
      <c r="J35" s="18" t="s">
        <v>29</v>
      </c>
      <c r="K35" s="18">
        <v>7</v>
      </c>
      <c r="L35" s="18">
        <v>7</v>
      </c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</row>
    <row r="36" spans="1:57">
      <c r="A36" s="7" t="s">
        <v>88</v>
      </c>
      <c r="B36" s="8"/>
      <c r="C36" s="22" t="s">
        <v>89</v>
      </c>
      <c r="D36" s="23"/>
      <c r="E36" s="23"/>
      <c r="F36" s="23"/>
      <c r="G36" s="23"/>
      <c r="H36" s="9" t="s">
        <v>28</v>
      </c>
      <c r="I36" s="10">
        <v>0</v>
      </c>
      <c r="J36" s="18" t="s">
        <v>29</v>
      </c>
      <c r="K36" s="18">
        <v>7</v>
      </c>
      <c r="L36" s="18">
        <v>7</v>
      </c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</row>
    <row r="37" spans="1:57">
      <c r="A37" s="4" t="s">
        <v>90</v>
      </c>
      <c r="B37" s="5"/>
      <c r="C37" s="24" t="s">
        <v>91</v>
      </c>
      <c r="D37" s="23"/>
      <c r="E37" s="23"/>
      <c r="F37" s="23"/>
      <c r="G37" s="23"/>
      <c r="H37" s="6"/>
      <c r="I37" s="6">
        <f>AVERAGE(I38,I39,I40,I41,I42)</f>
        <v>0</v>
      </c>
      <c r="J37" s="17"/>
      <c r="K37" s="17"/>
      <c r="L37" s="17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</row>
    <row r="38" spans="1:57">
      <c r="A38" s="7" t="s">
        <v>92</v>
      </c>
      <c r="B38" s="8"/>
      <c r="C38" s="22" t="s">
        <v>93</v>
      </c>
      <c r="D38" s="23"/>
      <c r="E38" s="23"/>
      <c r="F38" s="23"/>
      <c r="G38" s="23"/>
      <c r="H38" s="9" t="s">
        <v>94</v>
      </c>
      <c r="I38" s="10">
        <v>0</v>
      </c>
      <c r="J38" s="18" t="s">
        <v>29</v>
      </c>
      <c r="K38" s="18">
        <v>4</v>
      </c>
      <c r="L38" s="18">
        <v>5</v>
      </c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</row>
    <row r="39" spans="1:57">
      <c r="A39" s="7" t="s">
        <v>95</v>
      </c>
      <c r="B39" s="8"/>
      <c r="C39" s="22" t="s">
        <v>96</v>
      </c>
      <c r="D39" s="23"/>
      <c r="E39" s="23"/>
      <c r="F39" s="23"/>
      <c r="G39" s="23"/>
      <c r="H39" s="9" t="s">
        <v>55</v>
      </c>
      <c r="I39" s="10">
        <v>0</v>
      </c>
      <c r="J39" s="18" t="s">
        <v>29</v>
      </c>
      <c r="K39" s="18">
        <v>5</v>
      </c>
      <c r="L39" s="18">
        <v>9</v>
      </c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</row>
    <row r="40" spans="1:57">
      <c r="A40" s="7" t="s">
        <v>97</v>
      </c>
      <c r="B40" s="8"/>
      <c r="C40" s="22" t="s">
        <v>98</v>
      </c>
      <c r="D40" s="23"/>
      <c r="E40" s="23"/>
      <c r="F40" s="23"/>
      <c r="G40" s="23"/>
      <c r="H40" s="9" t="s">
        <v>55</v>
      </c>
      <c r="I40" s="10">
        <v>0</v>
      </c>
      <c r="J40" s="18" t="s">
        <v>29</v>
      </c>
      <c r="K40" s="18">
        <v>9</v>
      </c>
      <c r="L40" s="18">
        <v>9</v>
      </c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</row>
    <row r="41" spans="1:57">
      <c r="A41" s="7" t="s">
        <v>99</v>
      </c>
      <c r="B41" s="8"/>
      <c r="C41" s="22" t="s">
        <v>100</v>
      </c>
      <c r="D41" s="23"/>
      <c r="E41" s="23"/>
      <c r="F41" s="23"/>
      <c r="G41" s="23"/>
      <c r="H41" s="9" t="s">
        <v>101</v>
      </c>
      <c r="I41" s="10">
        <v>0</v>
      </c>
      <c r="J41" s="18" t="s">
        <v>29</v>
      </c>
      <c r="K41" s="18">
        <v>8</v>
      </c>
      <c r="L41" s="18">
        <v>9</v>
      </c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</row>
    <row r="42" spans="1:57">
      <c r="A42" s="7" t="s">
        <v>102</v>
      </c>
      <c r="B42" s="8"/>
      <c r="C42" s="22" t="s">
        <v>103</v>
      </c>
      <c r="D42" s="23"/>
      <c r="E42" s="23"/>
      <c r="F42" s="23"/>
      <c r="G42" s="23"/>
      <c r="H42" s="9" t="s">
        <v>28</v>
      </c>
      <c r="I42" s="10">
        <v>0</v>
      </c>
      <c r="J42" s="18" t="s">
        <v>29</v>
      </c>
      <c r="K42" s="18">
        <v>9</v>
      </c>
      <c r="L42" s="18">
        <v>9</v>
      </c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</row>
    <row r="43" spans="1:57">
      <c r="C43" s="34" t="s">
        <v>104</v>
      </c>
      <c r="D43" s="33"/>
      <c r="E43" s="33"/>
      <c r="F43" s="33"/>
      <c r="G43" s="33"/>
      <c r="I43" s="11">
        <f>AVERAGE(I9,I10,I11,I12,I14,I15,I16,I17,I18,I19,I20,I21,I22,I24,I25,I26,I27,I28,I30,I31,I32,I33,I34,I35,I36,I38,I39,I40,I41,I42)</f>
        <v>3.3333333333333333E-2</v>
      </c>
    </row>
  </sheetData>
  <mergeCells count="56">
    <mergeCell ref="C43:G43"/>
    <mergeCell ref="C27:G27"/>
    <mergeCell ref="C36:G36"/>
    <mergeCell ref="C8:G8"/>
    <mergeCell ref="C17:G17"/>
    <mergeCell ref="C19:G19"/>
    <mergeCell ref="A2:I3"/>
    <mergeCell ref="C32:G32"/>
    <mergeCell ref="C38:G38"/>
    <mergeCell ref="C24:G24"/>
    <mergeCell ref="C33:G33"/>
    <mergeCell ref="C26:G26"/>
    <mergeCell ref="C35:G35"/>
    <mergeCell ref="C10:G10"/>
    <mergeCell ref="C16:G16"/>
    <mergeCell ref="C25:G25"/>
    <mergeCell ref="C9:G9"/>
    <mergeCell ref="C11:G11"/>
    <mergeCell ref="C28:G28"/>
    <mergeCell ref="C37:G37"/>
    <mergeCell ref="C13:G13"/>
    <mergeCell ref="C30:G30"/>
    <mergeCell ref="C42:G42"/>
    <mergeCell ref="W6:AP6"/>
    <mergeCell ref="C20:G20"/>
    <mergeCell ref="AL7:AP7"/>
    <mergeCell ref="C22:G22"/>
    <mergeCell ref="C12:G12"/>
    <mergeCell ref="C6:G7"/>
    <mergeCell ref="L6:L7"/>
    <mergeCell ref="C39:G39"/>
    <mergeCell ref="C15:G15"/>
    <mergeCell ref="H6:H7"/>
    <mergeCell ref="J6:J7"/>
    <mergeCell ref="C41:G41"/>
    <mergeCell ref="M7:Q7"/>
    <mergeCell ref="AB7:AF7"/>
    <mergeCell ref="A6:B7"/>
    <mergeCell ref="K6:K7"/>
    <mergeCell ref="M6:V6"/>
    <mergeCell ref="C18:G18"/>
    <mergeCell ref="C34:G34"/>
    <mergeCell ref="C40:G40"/>
    <mergeCell ref="C21:G21"/>
    <mergeCell ref="W7:AA7"/>
    <mergeCell ref="AG7:AK7"/>
    <mergeCell ref="AQ6:BE6"/>
    <mergeCell ref="C23:G23"/>
    <mergeCell ref="I6:I7"/>
    <mergeCell ref="AQ7:AU7"/>
    <mergeCell ref="BA7:BE7"/>
    <mergeCell ref="AV7:AZ7"/>
    <mergeCell ref="C14:G14"/>
    <mergeCell ref="C29:G29"/>
    <mergeCell ref="R7:V7"/>
    <mergeCell ref="C31:G31"/>
  </mergeCells>
  <phoneticPr fontId="15" type="noConversion"/>
  <conditionalFormatting sqref="M8:BE400">
    <cfRule type="expression" dxfId="5" priority="1" stopIfTrue="1">
      <formula>AND($J8="S",M$1&gt;=$K8,M$1&lt;=$L8)</formula>
    </cfRule>
    <cfRule type="expression" dxfId="4" priority="2" stopIfTrue="1">
      <formula>AND($J8="C",M$1&gt;=$K8,M$1&lt;=$L8)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E49"/>
  <sheetViews>
    <sheetView zoomScale="70" workbookViewId="0">
      <pane xSplit="12" ySplit="7" topLeftCell="M8" activePane="bottomRight" state="frozen"/>
      <selection pane="topRight"/>
      <selection pane="bottomLeft"/>
      <selection pane="bottomRight"/>
    </sheetView>
  </sheetViews>
  <sheetFormatPr defaultRowHeight="16.5"/>
  <cols>
    <col min="1" max="1" width="6" customWidth="1"/>
    <col min="2" max="2" width="1.875" customWidth="1"/>
    <col min="3" max="3" width="2.625" customWidth="1"/>
    <col min="4" max="6" width="13" customWidth="1"/>
    <col min="7" max="7" width="16.25" customWidth="1"/>
    <col min="8" max="8" width="15" customWidth="1"/>
    <col min="9" max="9" width="6.75" customWidth="1"/>
    <col min="10" max="12" width="6.5" customWidth="1"/>
    <col min="13" max="57" width="2.875" customWidth="1"/>
  </cols>
  <sheetData>
    <row r="1" spans="1:57">
      <c r="M1" s="14">
        <v>1</v>
      </c>
      <c r="N1" s="14">
        <v>1</v>
      </c>
      <c r="O1" s="14">
        <v>1</v>
      </c>
      <c r="P1" s="14">
        <v>1</v>
      </c>
      <c r="Q1" s="14">
        <v>1</v>
      </c>
      <c r="R1" s="14">
        <v>2</v>
      </c>
      <c r="S1" s="14">
        <v>2</v>
      </c>
      <c r="T1" s="14">
        <v>2</v>
      </c>
      <c r="U1" s="14">
        <v>2</v>
      </c>
      <c r="V1" s="14">
        <v>2</v>
      </c>
      <c r="W1" s="14">
        <v>3</v>
      </c>
      <c r="X1" s="14">
        <v>3</v>
      </c>
      <c r="Y1" s="14">
        <v>3</v>
      </c>
      <c r="Z1" s="14">
        <v>3</v>
      </c>
      <c r="AA1" s="14">
        <v>3</v>
      </c>
      <c r="AB1" s="14">
        <v>4</v>
      </c>
      <c r="AC1" s="14">
        <v>4</v>
      </c>
      <c r="AD1" s="14">
        <v>4</v>
      </c>
      <c r="AE1" s="14">
        <v>4</v>
      </c>
      <c r="AF1" s="14">
        <v>4</v>
      </c>
      <c r="AG1" s="14">
        <v>5</v>
      </c>
      <c r="AH1" s="14">
        <v>5</v>
      </c>
      <c r="AI1" s="14">
        <v>5</v>
      </c>
      <c r="AJ1" s="14">
        <v>5</v>
      </c>
      <c r="AK1" s="14">
        <v>5</v>
      </c>
      <c r="AL1" s="14">
        <v>6</v>
      </c>
      <c r="AM1" s="14">
        <v>6</v>
      </c>
      <c r="AN1" s="14">
        <v>6</v>
      </c>
      <c r="AO1" s="14">
        <v>6</v>
      </c>
      <c r="AP1" s="14">
        <v>6</v>
      </c>
      <c r="AQ1" s="14">
        <v>7</v>
      </c>
      <c r="AR1" s="14">
        <v>7</v>
      </c>
      <c r="AS1" s="14">
        <v>7</v>
      </c>
      <c r="AT1" s="14">
        <v>7</v>
      </c>
      <c r="AU1" s="14">
        <v>7</v>
      </c>
      <c r="AV1" s="14">
        <v>8</v>
      </c>
      <c r="AW1" s="14">
        <v>8</v>
      </c>
      <c r="AX1" s="14">
        <v>8</v>
      </c>
      <c r="AY1" s="14">
        <v>8</v>
      </c>
      <c r="AZ1" s="14">
        <v>8</v>
      </c>
      <c r="BA1" s="14">
        <v>9</v>
      </c>
      <c r="BB1" s="14">
        <v>9</v>
      </c>
      <c r="BC1" s="14">
        <v>9</v>
      </c>
      <c r="BD1" s="14">
        <v>9</v>
      </c>
      <c r="BE1" s="14">
        <v>9</v>
      </c>
    </row>
    <row r="2" spans="1:57" ht="37.5">
      <c r="A2" s="1" t="s">
        <v>105</v>
      </c>
    </row>
    <row r="3" spans="1:57">
      <c r="A3" s="3" t="s">
        <v>106</v>
      </c>
    </row>
    <row r="4" spans="1:57" ht="17.25">
      <c r="A4" s="2" t="s">
        <v>1</v>
      </c>
      <c r="R4" s="15"/>
      <c r="S4" s="3" t="s">
        <v>2</v>
      </c>
    </row>
    <row r="5" spans="1:57">
      <c r="A5" s="3" t="s">
        <v>3</v>
      </c>
      <c r="R5" s="16"/>
      <c r="S5" s="3" t="s">
        <v>4</v>
      </c>
    </row>
    <row r="6" spans="1:57">
      <c r="A6" s="26" t="s">
        <v>5</v>
      </c>
      <c r="B6" s="28"/>
      <c r="C6" s="26" t="s">
        <v>6</v>
      </c>
      <c r="D6" s="31"/>
      <c r="E6" s="31"/>
      <c r="F6" s="31"/>
      <c r="G6" s="28"/>
      <c r="H6" s="26" t="s">
        <v>7</v>
      </c>
      <c r="I6" s="26" t="s">
        <v>8</v>
      </c>
      <c r="J6" s="26" t="s">
        <v>9</v>
      </c>
      <c r="K6" s="26" t="s">
        <v>10</v>
      </c>
      <c r="L6" s="26" t="s">
        <v>11</v>
      </c>
      <c r="M6" s="25" t="s">
        <v>12</v>
      </c>
      <c r="N6" s="20"/>
      <c r="O6" s="20"/>
      <c r="P6" s="20"/>
      <c r="Q6" s="20"/>
      <c r="R6" s="20"/>
      <c r="S6" s="20"/>
      <c r="T6" s="20"/>
      <c r="U6" s="20"/>
      <c r="V6" s="21"/>
      <c r="W6" s="25" t="s">
        <v>13</v>
      </c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1"/>
      <c r="AQ6" s="25" t="s">
        <v>14</v>
      </c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1"/>
    </row>
    <row r="7" spans="1:57" ht="27.95" customHeight="1">
      <c r="A7" s="29"/>
      <c r="B7" s="30"/>
      <c r="C7" s="29"/>
      <c r="D7" s="23"/>
      <c r="E7" s="23"/>
      <c r="F7" s="23"/>
      <c r="G7" s="30"/>
      <c r="H7" s="27"/>
      <c r="I7" s="27"/>
      <c r="J7" s="27"/>
      <c r="K7" s="27"/>
      <c r="L7" s="27"/>
      <c r="M7" s="19" t="s">
        <v>15</v>
      </c>
      <c r="N7" s="20"/>
      <c r="O7" s="20"/>
      <c r="P7" s="20"/>
      <c r="Q7" s="21"/>
      <c r="R7" s="19" t="s">
        <v>16</v>
      </c>
      <c r="S7" s="20"/>
      <c r="T7" s="20"/>
      <c r="U7" s="20"/>
      <c r="V7" s="21"/>
      <c r="W7" s="19" t="s">
        <v>17</v>
      </c>
      <c r="X7" s="20"/>
      <c r="Y7" s="20"/>
      <c r="Z7" s="20"/>
      <c r="AA7" s="21"/>
      <c r="AB7" s="19" t="s">
        <v>18</v>
      </c>
      <c r="AC7" s="20"/>
      <c r="AD7" s="20"/>
      <c r="AE7" s="20"/>
      <c r="AF7" s="21"/>
      <c r="AG7" s="19" t="s">
        <v>19</v>
      </c>
      <c r="AH7" s="20"/>
      <c r="AI7" s="20"/>
      <c r="AJ7" s="20"/>
      <c r="AK7" s="21"/>
      <c r="AL7" s="19" t="s">
        <v>20</v>
      </c>
      <c r="AM7" s="20"/>
      <c r="AN7" s="20"/>
      <c r="AO7" s="20"/>
      <c r="AP7" s="21"/>
      <c r="AQ7" s="19" t="s">
        <v>21</v>
      </c>
      <c r="AR7" s="20"/>
      <c r="AS7" s="20"/>
      <c r="AT7" s="20"/>
      <c r="AU7" s="21"/>
      <c r="AV7" s="19" t="s">
        <v>22</v>
      </c>
      <c r="AW7" s="20"/>
      <c r="AX7" s="20"/>
      <c r="AY7" s="20"/>
      <c r="AZ7" s="21"/>
      <c r="BA7" s="19" t="s">
        <v>23</v>
      </c>
      <c r="BB7" s="20"/>
      <c r="BC7" s="20"/>
      <c r="BD7" s="20"/>
      <c r="BE7" s="21"/>
    </row>
    <row r="8" spans="1:57">
      <c r="A8" s="4" t="s">
        <v>24</v>
      </c>
      <c r="B8" s="5"/>
      <c r="C8" s="24" t="s">
        <v>107</v>
      </c>
      <c r="D8" s="23"/>
      <c r="E8" s="23"/>
      <c r="F8" s="23"/>
      <c r="G8" s="23"/>
      <c r="H8" s="6"/>
      <c r="I8" s="6">
        <f>AVERAGE(I9,I10,I11,I12,I13,I14,I15,I16,I17,I18,I19,I20,I21,I22,I23,I24,I25,I26)</f>
        <v>5.5555555555555552E-2</v>
      </c>
      <c r="J8" s="17"/>
      <c r="K8" s="17"/>
      <c r="L8" s="17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</row>
    <row r="9" spans="1:57">
      <c r="A9" s="7" t="str">
        <f>'일정 관리'!A9</f>
        <v>1.1</v>
      </c>
      <c r="B9" s="8"/>
      <c r="C9" s="22" t="str">
        <f>'일정 관리'!C9</f>
        <v>제안서·분업 확정</v>
      </c>
      <c r="D9" s="23"/>
      <c r="E9" s="23"/>
      <c r="F9" s="23"/>
      <c r="G9" s="23"/>
      <c r="H9" s="9" t="str">
        <f>'일정 관리'!H9</f>
        <v>홍길동</v>
      </c>
      <c r="I9" s="10">
        <f>'일정 관리'!I9</f>
        <v>1</v>
      </c>
      <c r="J9" s="18" t="str">
        <f>'일정 관리'!J9</f>
        <v>S</v>
      </c>
      <c r="K9" s="18">
        <f>'일정 관리'!K9</f>
        <v>1</v>
      </c>
      <c r="L9" s="18">
        <f>'일정 관리'!L9</f>
        <v>1</v>
      </c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</row>
    <row r="10" spans="1:57">
      <c r="A10" s="7" t="str">
        <f>'일정 관리'!A11</f>
        <v>1.3</v>
      </c>
      <c r="B10" s="8"/>
      <c r="C10" s="22" t="str">
        <f>'일정 관리'!C11</f>
        <v>GitHub 레포 운영 규칙 (브랜치·PR·이슈)</v>
      </c>
      <c r="D10" s="23"/>
      <c r="E10" s="23"/>
      <c r="F10" s="23"/>
      <c r="G10" s="23"/>
      <c r="H10" s="9" t="str">
        <f>'일정 관리'!H11</f>
        <v>홍길동</v>
      </c>
      <c r="I10" s="10">
        <f>'일정 관리'!I11</f>
        <v>0</v>
      </c>
      <c r="J10" s="18" t="str">
        <f>'일정 관리'!J11</f>
        <v>C</v>
      </c>
      <c r="K10" s="18">
        <f>'일정 관리'!K11</f>
        <v>1</v>
      </c>
      <c r="L10" s="18">
        <f>'일정 관리'!L11</f>
        <v>1</v>
      </c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</row>
    <row r="11" spans="1:57">
      <c r="A11" s="7" t="str">
        <f>'일정 관리'!A14</f>
        <v>2.1</v>
      </c>
      <c r="B11" s="8"/>
      <c r="C11" s="22" t="str">
        <f>'일정 관리'!C14</f>
        <v>요구사항 정의 (필수 기능 5종)</v>
      </c>
      <c r="D11" s="23"/>
      <c r="E11" s="23"/>
      <c r="F11" s="23"/>
      <c r="G11" s="23"/>
      <c r="H11" s="9" t="str">
        <f>'일정 관리'!H14</f>
        <v>홍길동</v>
      </c>
      <c r="I11" s="10">
        <f>'일정 관리'!I14</f>
        <v>0</v>
      </c>
      <c r="J11" s="18" t="str">
        <f>'일정 관리'!J14</f>
        <v>S</v>
      </c>
      <c r="K11" s="18">
        <f>'일정 관리'!K14</f>
        <v>1</v>
      </c>
      <c r="L11" s="18">
        <f>'일정 관리'!L14</f>
        <v>1</v>
      </c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</row>
    <row r="12" spans="1:57">
      <c r="A12" s="7" t="str">
        <f>'일정 관리'!A15</f>
        <v>2.2</v>
      </c>
      <c r="B12" s="8"/>
      <c r="C12" s="22" t="str">
        <f>'일정 관리'!C15</f>
        <v>기술 스택 선정</v>
      </c>
      <c r="D12" s="23"/>
      <c r="E12" s="23"/>
      <c r="F12" s="23"/>
      <c r="G12" s="23"/>
      <c r="H12" s="9" t="str">
        <f>'일정 관리'!H15</f>
        <v>홍길동, 김철수</v>
      </c>
      <c r="I12" s="10">
        <f>'일정 관리'!I15</f>
        <v>0</v>
      </c>
      <c r="J12" s="18" t="str">
        <f>'일정 관리'!J15</f>
        <v>S</v>
      </c>
      <c r="K12" s="18">
        <f>'일정 관리'!K15</f>
        <v>1</v>
      </c>
      <c r="L12" s="18">
        <f>'일정 관리'!L15</f>
        <v>1</v>
      </c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</row>
    <row r="13" spans="1:57">
      <c r="A13" s="7" t="str">
        <f>'일정 관리'!A16</f>
        <v>2.3</v>
      </c>
      <c r="B13" s="8"/>
      <c r="C13" s="22" t="str">
        <f>'일정 관리'!C16</f>
        <v>시스템 아키텍처 설계</v>
      </c>
      <c r="D13" s="23"/>
      <c r="E13" s="23"/>
      <c r="F13" s="23"/>
      <c r="G13" s="23"/>
      <c r="H13" s="9" t="str">
        <f>'일정 관리'!H16</f>
        <v>홍길동</v>
      </c>
      <c r="I13" s="10">
        <f>'일정 관리'!I16</f>
        <v>0</v>
      </c>
      <c r="J13" s="18" t="str">
        <f>'일정 관리'!J16</f>
        <v>S</v>
      </c>
      <c r="K13" s="18">
        <f>'일정 관리'!K16</f>
        <v>1</v>
      </c>
      <c r="L13" s="18">
        <f>'일정 관리'!L16</f>
        <v>2</v>
      </c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</row>
    <row r="14" spans="1:57">
      <c r="A14" s="7" t="str">
        <f>'일정 관리'!A19</f>
        <v>2.6</v>
      </c>
      <c r="B14" s="8"/>
      <c r="C14" s="22" t="str">
        <f>'일정 관리'!C19</f>
        <v>와이어프레임 초안</v>
      </c>
      <c r="D14" s="23"/>
      <c r="E14" s="23"/>
      <c r="F14" s="23"/>
      <c r="G14" s="23"/>
      <c r="H14" s="9" t="str">
        <f>'일정 관리'!H19</f>
        <v>홍길동</v>
      </c>
      <c r="I14" s="10">
        <f>'일정 관리'!I19</f>
        <v>0</v>
      </c>
      <c r="J14" s="18" t="str">
        <f>'일정 관리'!J19</f>
        <v>S</v>
      </c>
      <c r="K14" s="18">
        <f>'일정 관리'!K19</f>
        <v>1</v>
      </c>
      <c r="L14" s="18">
        <f>'일정 관리'!L19</f>
        <v>2</v>
      </c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</row>
    <row r="15" spans="1:57">
      <c r="A15" s="7" t="str">
        <f>'일정 관리'!A24</f>
        <v>3.1</v>
      </c>
      <c r="B15" s="8"/>
      <c r="C15" s="22" t="str">
        <f>'일정 관리'!C24</f>
        <v>미니PC 서버 구성 (OS·계정·방화벽)</v>
      </c>
      <c r="D15" s="23"/>
      <c r="E15" s="23"/>
      <c r="F15" s="23"/>
      <c r="G15" s="23"/>
      <c r="H15" s="9" t="str">
        <f>'일정 관리'!H24</f>
        <v>홍길동</v>
      </c>
      <c r="I15" s="10">
        <f>'일정 관리'!I24</f>
        <v>0</v>
      </c>
      <c r="J15" s="18" t="str">
        <f>'일정 관리'!J24</f>
        <v>S</v>
      </c>
      <c r="K15" s="18">
        <f>'일정 관리'!K24</f>
        <v>1</v>
      </c>
      <c r="L15" s="18">
        <f>'일정 관리'!L24</f>
        <v>2</v>
      </c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</row>
    <row r="16" spans="1:57">
      <c r="A16" s="7" t="str">
        <f>'일정 관리'!A10</f>
        <v>1.2</v>
      </c>
      <c r="B16" s="8"/>
      <c r="C16" s="22" t="str">
        <f>'일정 관리'!C10</f>
        <v>WBS 작성·주간 진척 점검</v>
      </c>
      <c r="D16" s="23"/>
      <c r="E16" s="23"/>
      <c r="F16" s="23"/>
      <c r="G16" s="23"/>
      <c r="H16" s="9" t="str">
        <f>'일정 관리'!H10</f>
        <v>홍길동</v>
      </c>
      <c r="I16" s="10">
        <f>'일정 관리'!I10</f>
        <v>0</v>
      </c>
      <c r="J16" s="18" t="str">
        <f>'일정 관리'!J10</f>
        <v>S</v>
      </c>
      <c r="K16" s="18">
        <f>'일정 관리'!K10</f>
        <v>1</v>
      </c>
      <c r="L16" s="18">
        <f>'일정 관리'!L10</f>
        <v>9</v>
      </c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</row>
    <row r="17" spans="1:57">
      <c r="A17" s="7" t="str">
        <f>'일정 관리'!A17</f>
        <v>2.4</v>
      </c>
      <c r="B17" s="8"/>
      <c r="C17" s="22" t="str">
        <f>'일정 관리'!C17</f>
        <v>데이터 모델 설계·ERD</v>
      </c>
      <c r="D17" s="23"/>
      <c r="E17" s="23"/>
      <c r="F17" s="23"/>
      <c r="G17" s="23"/>
      <c r="H17" s="9" t="str">
        <f>'일정 관리'!H17</f>
        <v>홍길동</v>
      </c>
      <c r="I17" s="10">
        <f>'일정 관리'!I17</f>
        <v>0</v>
      </c>
      <c r="J17" s="18" t="str">
        <f>'일정 관리'!J17</f>
        <v>S</v>
      </c>
      <c r="K17" s="18">
        <f>'일정 관리'!K17</f>
        <v>2</v>
      </c>
      <c r="L17" s="18">
        <f>'일정 관리'!L17</f>
        <v>2</v>
      </c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</row>
    <row r="18" spans="1:57">
      <c r="A18" s="7" t="str">
        <f>'일정 관리'!A18</f>
        <v>2.5</v>
      </c>
      <c r="B18" s="8"/>
      <c r="C18" s="22" t="str">
        <f>'일정 관리'!C18</f>
        <v>API 설계</v>
      </c>
      <c r="D18" s="23"/>
      <c r="E18" s="23"/>
      <c r="F18" s="23"/>
      <c r="G18" s="23"/>
      <c r="H18" s="9" t="str">
        <f>'일정 관리'!H18</f>
        <v>홍길동</v>
      </c>
      <c r="I18" s="10">
        <f>'일정 관리'!I18</f>
        <v>0</v>
      </c>
      <c r="J18" s="18" t="str">
        <f>'일정 관리'!J18</f>
        <v>S</v>
      </c>
      <c r="K18" s="18">
        <f>'일정 관리'!K18</f>
        <v>2</v>
      </c>
      <c r="L18" s="18">
        <f>'일정 관리'!L18</f>
        <v>2</v>
      </c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</row>
    <row r="19" spans="1:57">
      <c r="A19" s="7" t="str">
        <f>'일정 관리'!A25</f>
        <v>3.2</v>
      </c>
      <c r="B19" s="8"/>
      <c r="C19" s="22" t="str">
        <f>'일정 관리'!C25</f>
        <v>도메인 구매·DNS·HTTPS 인증서</v>
      </c>
      <c r="D19" s="23"/>
      <c r="E19" s="23"/>
      <c r="F19" s="23"/>
      <c r="G19" s="23"/>
      <c r="H19" s="9" t="str">
        <f>'일정 관리'!H25</f>
        <v>홍길동</v>
      </c>
      <c r="I19" s="10">
        <f>'일정 관리'!I25</f>
        <v>0</v>
      </c>
      <c r="J19" s="18" t="str">
        <f>'일정 관리'!J25</f>
        <v>S</v>
      </c>
      <c r="K19" s="18">
        <f>'일정 관리'!K25</f>
        <v>2</v>
      </c>
      <c r="L19" s="18">
        <f>'일정 관리'!L25</f>
        <v>2</v>
      </c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</row>
    <row r="20" spans="1:57">
      <c r="A20" s="7" t="str">
        <f>'일정 관리'!A26</f>
        <v>3.3</v>
      </c>
      <c r="B20" s="8"/>
      <c r="C20" s="22" t="str">
        <f>'일정 관리'!C26</f>
        <v>DB·파일 저장소·백업 구성</v>
      </c>
      <c r="D20" s="23"/>
      <c r="E20" s="23"/>
      <c r="F20" s="23"/>
      <c r="G20" s="23"/>
      <c r="H20" s="9" t="str">
        <f>'일정 관리'!H26</f>
        <v>홍길동</v>
      </c>
      <c r="I20" s="10">
        <f>'일정 관리'!I26</f>
        <v>0</v>
      </c>
      <c r="J20" s="18" t="str">
        <f>'일정 관리'!J26</f>
        <v>S</v>
      </c>
      <c r="K20" s="18">
        <f>'일정 관리'!K26</f>
        <v>3</v>
      </c>
      <c r="L20" s="18">
        <f>'일정 관리'!L26</f>
        <v>3</v>
      </c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</row>
    <row r="21" spans="1:57">
      <c r="A21" s="7" t="str">
        <f>'일정 관리'!A27</f>
        <v>3.4</v>
      </c>
      <c r="B21" s="8"/>
      <c r="C21" s="22" t="str">
        <f>'일정 관리'!C27</f>
        <v>배포 자동화 (CI/CD)</v>
      </c>
      <c r="D21" s="23"/>
      <c r="E21" s="23"/>
      <c r="F21" s="23"/>
      <c r="G21" s="23"/>
      <c r="H21" s="9" t="str">
        <f>'일정 관리'!H27</f>
        <v>홍길동</v>
      </c>
      <c r="I21" s="10">
        <f>'일정 관리'!I27</f>
        <v>0</v>
      </c>
      <c r="J21" s="18" t="str">
        <f>'일정 관리'!J27</f>
        <v>C</v>
      </c>
      <c r="K21" s="18">
        <f>'일정 관리'!K27</f>
        <v>4</v>
      </c>
      <c r="L21" s="18">
        <f>'일정 관리'!L27</f>
        <v>4</v>
      </c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</row>
    <row r="22" spans="1:57">
      <c r="A22" s="7" t="str">
        <f>'일정 관리'!A38</f>
        <v>5.1</v>
      </c>
      <c r="B22" s="8"/>
      <c r="C22" s="22" t="str">
        <f>'일정 관리'!C38</f>
        <v>사용자 테스트 시나리오 작성</v>
      </c>
      <c r="D22" s="23"/>
      <c r="E22" s="23"/>
      <c r="F22" s="23"/>
      <c r="G22" s="23"/>
      <c r="H22" s="9" t="str">
        <f>'일정 관리'!H38</f>
        <v>김철수, 박민수, 홍길동</v>
      </c>
      <c r="I22" s="10">
        <f>'일정 관리'!I38</f>
        <v>0</v>
      </c>
      <c r="J22" s="18" t="str">
        <f>'일정 관리'!J38</f>
        <v>S</v>
      </c>
      <c r="K22" s="18">
        <f>'일정 관리'!K38</f>
        <v>4</v>
      </c>
      <c r="L22" s="18">
        <f>'일정 관리'!L38</f>
        <v>5</v>
      </c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</row>
    <row r="23" spans="1:57">
      <c r="A23" s="7" t="str">
        <f>'일정 관리'!A36</f>
        <v>4.7</v>
      </c>
      <c r="B23" s="8"/>
      <c r="C23" s="22" t="str">
        <f>'일정 관리'!C36</f>
        <v>관리자 페이지</v>
      </c>
      <c r="D23" s="23"/>
      <c r="E23" s="23"/>
      <c r="F23" s="23"/>
      <c r="G23" s="23"/>
      <c r="H23" s="9" t="str">
        <f>'일정 관리'!H36</f>
        <v>홍길동</v>
      </c>
      <c r="I23" s="10">
        <f>'일정 관리'!I36</f>
        <v>0</v>
      </c>
      <c r="J23" s="18" t="str">
        <f>'일정 관리'!J36</f>
        <v>S</v>
      </c>
      <c r="K23" s="18">
        <f>'일정 관리'!K36</f>
        <v>7</v>
      </c>
      <c r="L23" s="18">
        <f>'일정 관리'!L36</f>
        <v>7</v>
      </c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</row>
    <row r="24" spans="1:57">
      <c r="A24" s="7" t="str">
        <f>'일정 관리'!A28</f>
        <v>3.5</v>
      </c>
      <c r="B24" s="8"/>
      <c r="C24" s="22" t="str">
        <f>'일정 관리'!C28</f>
        <v>운영 점검 (로그·장애 알림)</v>
      </c>
      <c r="D24" s="23"/>
      <c r="E24" s="23"/>
      <c r="F24" s="23"/>
      <c r="G24" s="23"/>
      <c r="H24" s="9" t="str">
        <f>'일정 관리'!H28</f>
        <v>홍길동</v>
      </c>
      <c r="I24" s="10">
        <f>'일정 관리'!I28</f>
        <v>0</v>
      </c>
      <c r="J24" s="18" t="str">
        <f>'일정 관리'!J28</f>
        <v>C</v>
      </c>
      <c r="K24" s="18">
        <f>'일정 관리'!K28</f>
        <v>8</v>
      </c>
      <c r="L24" s="18">
        <f>'일정 관리'!L28</f>
        <v>8</v>
      </c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</row>
    <row r="25" spans="1:57">
      <c r="A25" s="7" t="str">
        <f>'일정 관리'!A12</f>
        <v>1.4</v>
      </c>
      <c r="B25" s="8"/>
      <c r="C25" s="22" t="str">
        <f>'일정 관리'!C12</f>
        <v>1차 회고·2차 범위 정리</v>
      </c>
      <c r="D25" s="23"/>
      <c r="E25" s="23"/>
      <c r="F25" s="23"/>
      <c r="G25" s="23"/>
      <c r="H25" s="9" t="str">
        <f>'일정 관리'!H12</f>
        <v>전원</v>
      </c>
      <c r="I25" s="10">
        <f>'일정 관리'!I12</f>
        <v>0</v>
      </c>
      <c r="J25" s="18" t="str">
        <f>'일정 관리'!J12</f>
        <v>C</v>
      </c>
      <c r="K25" s="18">
        <f>'일정 관리'!K12</f>
        <v>9</v>
      </c>
      <c r="L25" s="18">
        <f>'일정 관리'!L12</f>
        <v>9</v>
      </c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</row>
    <row r="26" spans="1:57">
      <c r="A26" s="7" t="str">
        <f>'일정 관리'!A42</f>
        <v>5.5</v>
      </c>
      <c r="B26" s="8"/>
      <c r="C26" s="22" t="str">
        <f>'일정 관리'!C42</f>
        <v>운영 배포·1차 오픈</v>
      </c>
      <c r="D26" s="23"/>
      <c r="E26" s="23"/>
      <c r="F26" s="23"/>
      <c r="G26" s="23"/>
      <c r="H26" s="9" t="str">
        <f>'일정 관리'!H42</f>
        <v>홍길동</v>
      </c>
      <c r="I26" s="10">
        <f>'일정 관리'!I42</f>
        <v>0</v>
      </c>
      <c r="J26" s="18" t="str">
        <f>'일정 관리'!J42</f>
        <v>S</v>
      </c>
      <c r="K26" s="18">
        <f>'일정 관리'!K42</f>
        <v>9</v>
      </c>
      <c r="L26" s="18">
        <f>'일정 관리'!L42</f>
        <v>9</v>
      </c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</row>
    <row r="27" spans="1:57">
      <c r="A27" s="4" t="s">
        <v>38</v>
      </c>
      <c r="B27" s="5"/>
      <c r="C27" s="24" t="s">
        <v>108</v>
      </c>
      <c r="D27" s="23"/>
      <c r="E27" s="23"/>
      <c r="F27" s="23"/>
      <c r="G27" s="23"/>
      <c r="H27" s="6"/>
      <c r="I27" s="6">
        <f>AVERAGE(I28,I29,I30,I31,I32,I33,I34,I35,I36)</f>
        <v>0</v>
      </c>
      <c r="J27" s="17"/>
      <c r="K27" s="17"/>
      <c r="L27" s="17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</row>
    <row r="28" spans="1:57">
      <c r="A28" s="7" t="str">
        <f>'일정 관리'!A15</f>
        <v>2.2</v>
      </c>
      <c r="B28" s="8"/>
      <c r="C28" s="22" t="str">
        <f>'일정 관리'!C15</f>
        <v>기술 스택 선정</v>
      </c>
      <c r="D28" s="23"/>
      <c r="E28" s="23"/>
      <c r="F28" s="23"/>
      <c r="G28" s="23"/>
      <c r="H28" s="9" t="str">
        <f>'일정 관리'!H15</f>
        <v>홍길동, 김철수</v>
      </c>
      <c r="I28" s="10">
        <f>'일정 관리'!I15</f>
        <v>0</v>
      </c>
      <c r="J28" s="18" t="str">
        <f>'일정 관리'!J15</f>
        <v>S</v>
      </c>
      <c r="K28" s="18">
        <f>'일정 관리'!K15</f>
        <v>1</v>
      </c>
      <c r="L28" s="18">
        <f>'일정 관리'!L15</f>
        <v>1</v>
      </c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</row>
    <row r="29" spans="1:57">
      <c r="A29" s="7" t="str">
        <f>'일정 관리'!A30</f>
        <v>4.1</v>
      </c>
      <c r="B29" s="8"/>
      <c r="C29" s="22" t="str">
        <f>'일정 관리'!C30</f>
        <v>프로젝트 골격·개발환경</v>
      </c>
      <c r="D29" s="23"/>
      <c r="E29" s="23"/>
      <c r="F29" s="23"/>
      <c r="G29" s="23"/>
      <c r="H29" s="9" t="str">
        <f>'일정 관리'!H30</f>
        <v>김철수</v>
      </c>
      <c r="I29" s="10">
        <f>'일정 관리'!I30</f>
        <v>0</v>
      </c>
      <c r="J29" s="18" t="str">
        <f>'일정 관리'!J30</f>
        <v>S</v>
      </c>
      <c r="K29" s="18">
        <f>'일정 관리'!K30</f>
        <v>2</v>
      </c>
      <c r="L29" s="18">
        <f>'일정 관리'!L30</f>
        <v>3</v>
      </c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</row>
    <row r="30" spans="1:57">
      <c r="A30" s="7" t="str">
        <f>'일정 관리'!A21</f>
        <v>2.8</v>
      </c>
      <c r="B30" s="8"/>
      <c r="C30" s="22" t="str">
        <f>'일정 관리'!C21</f>
        <v>디자인 시안 구현 (AI 활용)</v>
      </c>
      <c r="D30" s="23"/>
      <c r="E30" s="23"/>
      <c r="F30" s="23"/>
      <c r="G30" s="23"/>
      <c r="H30" s="9" t="str">
        <f>'일정 관리'!H21</f>
        <v>김철수</v>
      </c>
      <c r="I30" s="10">
        <f>'일정 관리'!I21</f>
        <v>0</v>
      </c>
      <c r="J30" s="18" t="str">
        <f>'일정 관리'!J21</f>
        <v>S</v>
      </c>
      <c r="K30" s="18">
        <f>'일정 관리'!K21</f>
        <v>3</v>
      </c>
      <c r="L30" s="18">
        <f>'일정 관리'!L21</f>
        <v>3</v>
      </c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</row>
    <row r="31" spans="1:57">
      <c r="A31" s="7" t="str">
        <f>'일정 관리'!A31</f>
        <v>4.2</v>
      </c>
      <c r="B31" s="8"/>
      <c r="C31" s="22" t="str">
        <f>'일정 관리'!C31</f>
        <v>공통 레이아웃·반응형 (크로스 플랫폼)</v>
      </c>
      <c r="D31" s="23"/>
      <c r="E31" s="23"/>
      <c r="F31" s="23"/>
      <c r="G31" s="23"/>
      <c r="H31" s="9" t="str">
        <f>'일정 관리'!H31</f>
        <v>김철수</v>
      </c>
      <c r="I31" s="10">
        <f>'일정 관리'!I31</f>
        <v>0</v>
      </c>
      <c r="J31" s="18" t="str">
        <f>'일정 관리'!J31</f>
        <v>S</v>
      </c>
      <c r="K31" s="18">
        <f>'일정 관리'!K31</f>
        <v>3</v>
      </c>
      <c r="L31" s="18">
        <f>'일정 관리'!L31</f>
        <v>4</v>
      </c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</row>
    <row r="32" spans="1:57">
      <c r="A32" s="7" t="str">
        <f>'일정 관리'!A32</f>
        <v>4.3</v>
      </c>
      <c r="B32" s="8"/>
      <c r="C32" s="22" t="str">
        <f>'일정 관리'!C32</f>
        <v>회원가입·로그인</v>
      </c>
      <c r="D32" s="23"/>
      <c r="E32" s="23"/>
      <c r="F32" s="23"/>
      <c r="G32" s="23"/>
      <c r="H32" s="9" t="str">
        <f>'일정 관리'!H32</f>
        <v>김철수</v>
      </c>
      <c r="I32" s="10">
        <f>'일정 관리'!I32</f>
        <v>0</v>
      </c>
      <c r="J32" s="18" t="str">
        <f>'일정 관리'!J32</f>
        <v>S</v>
      </c>
      <c r="K32" s="18">
        <f>'일정 관리'!K32</f>
        <v>4</v>
      </c>
      <c r="L32" s="18">
        <f>'일정 관리'!L32</f>
        <v>4</v>
      </c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</row>
    <row r="33" spans="1:57">
      <c r="A33" s="7" t="str">
        <f>'일정 관리'!A38</f>
        <v>5.1</v>
      </c>
      <c r="B33" s="8"/>
      <c r="C33" s="22" t="str">
        <f>'일정 관리'!C38</f>
        <v>사용자 테스트 시나리오 작성</v>
      </c>
      <c r="D33" s="23"/>
      <c r="E33" s="23"/>
      <c r="F33" s="23"/>
      <c r="G33" s="23"/>
      <c r="H33" s="9" t="str">
        <f>'일정 관리'!H38</f>
        <v>김철수, 박민수, 홍길동</v>
      </c>
      <c r="I33" s="10">
        <f>'일정 관리'!I38</f>
        <v>0</v>
      </c>
      <c r="J33" s="18" t="str">
        <f>'일정 관리'!J38</f>
        <v>S</v>
      </c>
      <c r="K33" s="18">
        <f>'일정 관리'!K38</f>
        <v>4</v>
      </c>
      <c r="L33" s="18">
        <f>'일정 관리'!L38</f>
        <v>5</v>
      </c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</row>
    <row r="34" spans="1:57">
      <c r="A34" s="7" t="str">
        <f>'일정 관리'!A33</f>
        <v>4.4</v>
      </c>
      <c r="B34" s="8"/>
      <c r="C34" s="22" t="str">
        <f>'일정 관리'!C33</f>
        <v>모임 일정 관리</v>
      </c>
      <c r="D34" s="23"/>
      <c r="E34" s="23"/>
      <c r="F34" s="23"/>
      <c r="G34" s="23"/>
      <c r="H34" s="9" t="str">
        <f>'일정 관리'!H33</f>
        <v>김철수</v>
      </c>
      <c r="I34" s="10">
        <f>'일정 관리'!I33</f>
        <v>0</v>
      </c>
      <c r="J34" s="18" t="str">
        <f>'일정 관리'!J33</f>
        <v>S</v>
      </c>
      <c r="K34" s="18">
        <f>'일정 관리'!K33</f>
        <v>5</v>
      </c>
      <c r="L34" s="18">
        <f>'일정 관리'!L33</f>
        <v>6</v>
      </c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</row>
    <row r="35" spans="1:57">
      <c r="A35" s="7" t="str">
        <f>'일정 관리'!A41</f>
        <v>5.4</v>
      </c>
      <c r="B35" s="8"/>
      <c r="C35" s="22" t="str">
        <f>'일정 관리'!C41</f>
        <v>버그 수정</v>
      </c>
      <c r="D35" s="23"/>
      <c r="E35" s="23"/>
      <c r="F35" s="23"/>
      <c r="G35" s="23"/>
      <c r="H35" s="9" t="str">
        <f>'일정 관리'!H41</f>
        <v>김철수, 박민수</v>
      </c>
      <c r="I35" s="10">
        <f>'일정 관리'!I41</f>
        <v>0</v>
      </c>
      <c r="J35" s="18" t="str">
        <f>'일정 관리'!J41</f>
        <v>S</v>
      </c>
      <c r="K35" s="18">
        <f>'일정 관리'!K41</f>
        <v>8</v>
      </c>
      <c r="L35" s="18">
        <f>'일정 관리'!L41</f>
        <v>9</v>
      </c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</row>
    <row r="36" spans="1:57">
      <c r="A36" s="7" t="str">
        <f>'일정 관리'!A12</f>
        <v>1.4</v>
      </c>
      <c r="B36" s="8"/>
      <c r="C36" s="22" t="str">
        <f>'일정 관리'!C12</f>
        <v>1차 회고·2차 범위 정리</v>
      </c>
      <c r="D36" s="23"/>
      <c r="E36" s="23"/>
      <c r="F36" s="23"/>
      <c r="G36" s="23"/>
      <c r="H36" s="9" t="str">
        <f>'일정 관리'!H12</f>
        <v>전원</v>
      </c>
      <c r="I36" s="10">
        <f>'일정 관리'!I12</f>
        <v>0</v>
      </c>
      <c r="J36" s="18" t="str">
        <f>'일정 관리'!J12</f>
        <v>C</v>
      </c>
      <c r="K36" s="18">
        <f>'일정 관리'!K12</f>
        <v>9</v>
      </c>
      <c r="L36" s="18">
        <f>'일정 관리'!L12</f>
        <v>9</v>
      </c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</row>
    <row r="37" spans="1:57">
      <c r="A37" s="4" t="s">
        <v>61</v>
      </c>
      <c r="B37" s="5"/>
      <c r="C37" s="24" t="s">
        <v>109</v>
      </c>
      <c r="D37" s="23"/>
      <c r="E37" s="23"/>
      <c r="F37" s="23"/>
      <c r="G37" s="23"/>
      <c r="H37" s="6"/>
      <c r="I37" s="6">
        <f>AVERAGE(I38,I39,I40,I41,I42)</f>
        <v>0</v>
      </c>
      <c r="J37" s="17"/>
      <c r="K37" s="17"/>
      <c r="L37" s="17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</row>
    <row r="38" spans="1:57">
      <c r="A38" s="7" t="str">
        <f>'일정 관리'!A20</f>
        <v>2.7</v>
      </c>
      <c r="B38" s="8"/>
      <c r="C38" s="22" t="str">
        <f>'일정 관리'!C20</f>
        <v>와이어프레임 설계</v>
      </c>
      <c r="D38" s="23"/>
      <c r="E38" s="23"/>
      <c r="F38" s="23"/>
      <c r="G38" s="23"/>
      <c r="H38" s="9" t="str">
        <f>'일정 관리'!H20</f>
        <v>이영희</v>
      </c>
      <c r="I38" s="10">
        <f>'일정 관리'!I20</f>
        <v>0</v>
      </c>
      <c r="J38" s="18" t="str">
        <f>'일정 관리'!J20</f>
        <v>S</v>
      </c>
      <c r="K38" s="18">
        <f>'일정 관리'!K20</f>
        <v>1</v>
      </c>
      <c r="L38" s="18">
        <f>'일정 관리'!L20</f>
        <v>2</v>
      </c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</row>
    <row r="39" spans="1:57">
      <c r="A39" s="7" t="str">
        <f>'일정 관리'!A22</f>
        <v>2.9</v>
      </c>
      <c r="B39" s="8"/>
      <c r="C39" s="22" t="str">
        <f>'일정 관리'!C22</f>
        <v>디자인 시안 검수</v>
      </c>
      <c r="D39" s="23"/>
      <c r="E39" s="23"/>
      <c r="F39" s="23"/>
      <c r="G39" s="23"/>
      <c r="H39" s="9" t="str">
        <f>'일정 관리'!H22</f>
        <v>이영희</v>
      </c>
      <c r="I39" s="10">
        <f>'일정 관리'!I22</f>
        <v>0</v>
      </c>
      <c r="J39" s="18" t="str">
        <f>'일정 관리'!J22</f>
        <v>S</v>
      </c>
      <c r="K39" s="18">
        <f>'일정 관리'!K22</f>
        <v>3</v>
      </c>
      <c r="L39" s="18">
        <f>'일정 관리'!L22</f>
        <v>4</v>
      </c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</row>
    <row r="40" spans="1:57">
      <c r="A40" s="7" t="str">
        <f>'일정 관리'!A39</f>
        <v>5.2</v>
      </c>
      <c r="B40" s="8"/>
      <c r="C40" s="22" t="str">
        <f>'일정 관리'!C39</f>
        <v>기능별 사용자 테스트 (완성되는 대로)</v>
      </c>
      <c r="D40" s="23"/>
      <c r="E40" s="23"/>
      <c r="F40" s="23"/>
      <c r="G40" s="23"/>
      <c r="H40" s="9" t="str">
        <f>'일정 관리'!H39</f>
        <v>이영희</v>
      </c>
      <c r="I40" s="10">
        <f>'일정 관리'!I39</f>
        <v>0</v>
      </c>
      <c r="J40" s="18" t="str">
        <f>'일정 관리'!J39</f>
        <v>S</v>
      </c>
      <c r="K40" s="18">
        <f>'일정 관리'!K39</f>
        <v>5</v>
      </c>
      <c r="L40" s="18">
        <f>'일정 관리'!L39</f>
        <v>9</v>
      </c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</row>
    <row r="41" spans="1:57">
      <c r="A41" s="7" t="str">
        <f>'일정 관리'!A12</f>
        <v>1.4</v>
      </c>
      <c r="B41" s="8"/>
      <c r="C41" s="22" t="str">
        <f>'일정 관리'!C12</f>
        <v>1차 회고·2차 범위 정리</v>
      </c>
      <c r="D41" s="23"/>
      <c r="E41" s="23"/>
      <c r="F41" s="23"/>
      <c r="G41" s="23"/>
      <c r="H41" s="9" t="str">
        <f>'일정 관리'!H12</f>
        <v>전원</v>
      </c>
      <c r="I41" s="10">
        <f>'일정 관리'!I12</f>
        <v>0</v>
      </c>
      <c r="J41" s="18" t="str">
        <f>'일정 관리'!J12</f>
        <v>C</v>
      </c>
      <c r="K41" s="18">
        <f>'일정 관리'!K12</f>
        <v>9</v>
      </c>
      <c r="L41" s="18">
        <f>'일정 관리'!L12</f>
        <v>9</v>
      </c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</row>
    <row r="42" spans="1:57">
      <c r="A42" s="7" t="str">
        <f>'일정 관리'!A40</f>
        <v>5.3</v>
      </c>
      <c r="B42" s="8"/>
      <c r="C42" s="22" t="str">
        <f>'일정 관리'!C40</f>
        <v>크로스 플랫폼 확인 (PC·모바일 브라우저)</v>
      </c>
      <c r="D42" s="23"/>
      <c r="E42" s="23"/>
      <c r="F42" s="23"/>
      <c r="G42" s="23"/>
      <c r="H42" s="9" t="str">
        <f>'일정 관리'!H40</f>
        <v>이영희</v>
      </c>
      <c r="I42" s="10">
        <f>'일정 관리'!I40</f>
        <v>0</v>
      </c>
      <c r="J42" s="18" t="str">
        <f>'일정 관리'!J40</f>
        <v>S</v>
      </c>
      <c r="K42" s="18">
        <f>'일정 관리'!K40</f>
        <v>9</v>
      </c>
      <c r="L42" s="18">
        <f>'일정 관리'!L40</f>
        <v>9</v>
      </c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</row>
    <row r="43" spans="1:57">
      <c r="A43" s="4" t="s">
        <v>73</v>
      </c>
      <c r="B43" s="5"/>
      <c r="C43" s="24" t="s">
        <v>110</v>
      </c>
      <c r="D43" s="23"/>
      <c r="E43" s="23"/>
      <c r="F43" s="23"/>
      <c r="G43" s="23"/>
      <c r="H43" s="6"/>
      <c r="I43" s="6">
        <f>AVERAGE(I44,I45,I46,I47,I48)</f>
        <v>0</v>
      </c>
      <c r="J43" s="17"/>
      <c r="K43" s="17"/>
      <c r="L43" s="17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</row>
    <row r="44" spans="1:57">
      <c r="A44" s="7" t="str">
        <f>'일정 관리'!A38</f>
        <v>5.1</v>
      </c>
      <c r="B44" s="8"/>
      <c r="C44" s="22" t="str">
        <f>'일정 관리'!C38</f>
        <v>사용자 테스트 시나리오 작성</v>
      </c>
      <c r="D44" s="23"/>
      <c r="E44" s="23"/>
      <c r="F44" s="23"/>
      <c r="G44" s="23"/>
      <c r="H44" s="9" t="str">
        <f>'일정 관리'!H38</f>
        <v>김철수, 박민수, 홍길동</v>
      </c>
      <c r="I44" s="10">
        <f>'일정 관리'!I38</f>
        <v>0</v>
      </c>
      <c r="J44" s="18" t="str">
        <f>'일정 관리'!J38</f>
        <v>S</v>
      </c>
      <c r="K44" s="18">
        <f>'일정 관리'!K38</f>
        <v>4</v>
      </c>
      <c r="L44" s="18">
        <f>'일정 관리'!L38</f>
        <v>5</v>
      </c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</row>
    <row r="45" spans="1:57">
      <c r="A45" s="7" t="str">
        <f>'일정 관리'!A34</f>
        <v>4.5</v>
      </c>
      <c r="B45" s="8"/>
      <c r="C45" s="22" t="str">
        <f>'일정 관리'!C34</f>
        <v>파일 업로드·자료 공유</v>
      </c>
      <c r="D45" s="23"/>
      <c r="E45" s="23"/>
      <c r="F45" s="23"/>
      <c r="G45" s="23"/>
      <c r="H45" s="9" t="str">
        <f>'일정 관리'!H34</f>
        <v>박민수</v>
      </c>
      <c r="I45" s="10">
        <f>'일정 관리'!I34</f>
        <v>0</v>
      </c>
      <c r="J45" s="18" t="str">
        <f>'일정 관리'!J34</f>
        <v>S</v>
      </c>
      <c r="K45" s="18">
        <f>'일정 관리'!K34</f>
        <v>5</v>
      </c>
      <c r="L45" s="18">
        <f>'일정 관리'!L34</f>
        <v>6</v>
      </c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</row>
    <row r="46" spans="1:57">
      <c r="A46" s="7" t="str">
        <f>'일정 관리'!A35</f>
        <v>4.6</v>
      </c>
      <c r="B46" s="8"/>
      <c r="C46" s="22" t="str">
        <f>'일정 관리'!C35</f>
        <v>디스코드 공지 (공지 양식 적용)</v>
      </c>
      <c r="D46" s="23"/>
      <c r="E46" s="23"/>
      <c r="F46" s="23"/>
      <c r="G46" s="23"/>
      <c r="H46" s="9" t="str">
        <f>'일정 관리'!H35</f>
        <v>박민수</v>
      </c>
      <c r="I46" s="10">
        <f>'일정 관리'!I35</f>
        <v>0</v>
      </c>
      <c r="J46" s="18" t="str">
        <f>'일정 관리'!J35</f>
        <v>S</v>
      </c>
      <c r="K46" s="18">
        <f>'일정 관리'!K35</f>
        <v>7</v>
      </c>
      <c r="L46" s="18">
        <f>'일정 관리'!L35</f>
        <v>7</v>
      </c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</row>
    <row r="47" spans="1:57">
      <c r="A47" s="7" t="str">
        <f>'일정 관리'!A41</f>
        <v>5.4</v>
      </c>
      <c r="B47" s="8"/>
      <c r="C47" s="22" t="str">
        <f>'일정 관리'!C41</f>
        <v>버그 수정</v>
      </c>
      <c r="D47" s="23"/>
      <c r="E47" s="23"/>
      <c r="F47" s="23"/>
      <c r="G47" s="23"/>
      <c r="H47" s="9" t="str">
        <f>'일정 관리'!H41</f>
        <v>김철수, 박민수</v>
      </c>
      <c r="I47" s="10">
        <f>'일정 관리'!I41</f>
        <v>0</v>
      </c>
      <c r="J47" s="18" t="str">
        <f>'일정 관리'!J41</f>
        <v>S</v>
      </c>
      <c r="K47" s="18">
        <f>'일정 관리'!K41</f>
        <v>8</v>
      </c>
      <c r="L47" s="18">
        <f>'일정 관리'!L41</f>
        <v>9</v>
      </c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</row>
    <row r="48" spans="1:57">
      <c r="A48" s="7" t="str">
        <f>'일정 관리'!A12</f>
        <v>1.4</v>
      </c>
      <c r="B48" s="8"/>
      <c r="C48" s="22" t="str">
        <f>'일정 관리'!C12</f>
        <v>1차 회고·2차 범위 정리</v>
      </c>
      <c r="D48" s="23"/>
      <c r="E48" s="23"/>
      <c r="F48" s="23"/>
      <c r="G48" s="23"/>
      <c r="H48" s="9" t="str">
        <f>'일정 관리'!H12</f>
        <v>전원</v>
      </c>
      <c r="I48" s="10">
        <f>'일정 관리'!I12</f>
        <v>0</v>
      </c>
      <c r="J48" s="18" t="str">
        <f>'일정 관리'!J12</f>
        <v>C</v>
      </c>
      <c r="K48" s="18">
        <f>'일정 관리'!K12</f>
        <v>9</v>
      </c>
      <c r="L48" s="18">
        <f>'일정 관리'!L12</f>
        <v>9</v>
      </c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</row>
    <row r="49" spans="3:9">
      <c r="C49" s="34" t="s">
        <v>104</v>
      </c>
      <c r="D49" s="33"/>
      <c r="E49" s="33"/>
      <c r="F49" s="33"/>
      <c r="G49" s="33"/>
      <c r="I49" s="11">
        <f>AVERAGE('일정 관리'!I9,'일정 관리'!I10,'일정 관리'!I11,'일정 관리'!I12,'일정 관리'!I14,'일정 관리'!I15,'일정 관리'!I16,'일정 관리'!I17,'일정 관리'!I18,'일정 관리'!I19,'일정 관리'!I20,'일정 관리'!I21,'일정 관리'!I22,'일정 관리'!I24,'일정 관리'!I25,'일정 관리'!I26,'일정 관리'!I27,'일정 관리'!I28,'일정 관리'!I30,'일정 관리'!I31,'일정 관리'!I32,'일정 관리'!I33,'일정 관리'!I34,'일정 관리'!I35,'일정 관리'!I36,'일정 관리'!I38,'일정 관리'!I39,'일정 관리'!I40,'일정 관리'!I41,'일정 관리'!I42)</f>
        <v>3.3333333333333333E-2</v>
      </c>
    </row>
  </sheetData>
  <mergeCells count="61">
    <mergeCell ref="AB7:AF7"/>
    <mergeCell ref="C32:G32"/>
    <mergeCell ref="C38:G38"/>
    <mergeCell ref="C28:G28"/>
    <mergeCell ref="A6:B7"/>
    <mergeCell ref="I6:I7"/>
    <mergeCell ref="C19:G19"/>
    <mergeCell ref="K6:K7"/>
    <mergeCell ref="M6:V6"/>
    <mergeCell ref="C37:G37"/>
    <mergeCell ref="C13:G13"/>
    <mergeCell ref="C18:G18"/>
    <mergeCell ref="L6:L7"/>
    <mergeCell ref="C36:G36"/>
    <mergeCell ref="C23:G23"/>
    <mergeCell ref="C39:G39"/>
    <mergeCell ref="C8:G8"/>
    <mergeCell ref="C17:G17"/>
    <mergeCell ref="BA7:BE7"/>
    <mergeCell ref="C25:G25"/>
    <mergeCell ref="C44:G44"/>
    <mergeCell ref="AL7:AP7"/>
    <mergeCell ref="C41:G41"/>
    <mergeCell ref="C31:G31"/>
    <mergeCell ref="C22:G22"/>
    <mergeCell ref="C40:G40"/>
    <mergeCell ref="C9:G9"/>
    <mergeCell ref="M7:Q7"/>
    <mergeCell ref="C21:G21"/>
    <mergeCell ref="C43:G43"/>
    <mergeCell ref="W7:AA7"/>
    <mergeCell ref="C12:G12"/>
    <mergeCell ref="C6:G7"/>
    <mergeCell ref="AG7:AK7"/>
    <mergeCell ref="AV7:AZ7"/>
    <mergeCell ref="C15:G15"/>
    <mergeCell ref="C33:G33"/>
    <mergeCell ref="H6:H7"/>
    <mergeCell ref="J6:J7"/>
    <mergeCell ref="C14:G14"/>
    <mergeCell ref="W6:AP6"/>
    <mergeCell ref="C26:G26"/>
    <mergeCell ref="C29:G29"/>
    <mergeCell ref="R7:V7"/>
    <mergeCell ref="C20:G20"/>
    <mergeCell ref="AQ7:AU7"/>
    <mergeCell ref="C10:G10"/>
    <mergeCell ref="C16:G16"/>
    <mergeCell ref="AQ6:BE6"/>
    <mergeCell ref="C11:G11"/>
    <mergeCell ref="C49:G49"/>
    <mergeCell ref="C30:G30"/>
    <mergeCell ref="C34:G34"/>
    <mergeCell ref="C24:G24"/>
    <mergeCell ref="C42:G42"/>
    <mergeCell ref="C45:G45"/>
    <mergeCell ref="C35:G35"/>
    <mergeCell ref="C47:G47"/>
    <mergeCell ref="C46:G46"/>
    <mergeCell ref="C27:G27"/>
    <mergeCell ref="C48:G48"/>
  </mergeCells>
  <phoneticPr fontId="15" type="noConversion"/>
  <conditionalFormatting sqref="M8:BE400">
    <cfRule type="expression" dxfId="3" priority="1" stopIfTrue="1">
      <formula>AND($J8="S",M$1&gt;=$K8,M$1&lt;=$L8)</formula>
    </cfRule>
    <cfRule type="expression" dxfId="2" priority="2" stopIfTrue="1">
      <formula>AND($J8="C",M$1&gt;=$K8,M$1&lt;=$L8)</formula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0"/>
  <sheetViews>
    <sheetView showGridLines="0" workbookViewId="0"/>
  </sheetViews>
  <sheetFormatPr defaultRowHeight="16.5"/>
  <cols>
    <col min="1" max="1" width="18.25" customWidth="1"/>
    <col min="2" max="2" width="155.125" customWidth="1"/>
  </cols>
  <sheetData>
    <row r="1" spans="1:2">
      <c r="A1" s="35" t="s">
        <v>111</v>
      </c>
      <c r="B1" s="33"/>
    </row>
    <row r="2" spans="1:2">
      <c r="A2" s="33"/>
      <c r="B2" s="33"/>
    </row>
    <row r="3" spans="1:2">
      <c r="A3" s="33"/>
      <c r="B3" s="33"/>
    </row>
    <row r="5" spans="1:2" ht="27" customHeight="1">
      <c r="A5" s="12" t="s">
        <v>112</v>
      </c>
      <c r="B5" s="13" t="s">
        <v>113</v>
      </c>
    </row>
    <row r="6" spans="1:2" ht="27" customHeight="1">
      <c r="A6" s="12" t="s">
        <v>114</v>
      </c>
      <c r="B6" s="13" t="s">
        <v>115</v>
      </c>
    </row>
    <row r="7" spans="1:2" ht="27" customHeight="1">
      <c r="A7" s="12" t="s">
        <v>116</v>
      </c>
      <c r="B7" s="13" t="s">
        <v>117</v>
      </c>
    </row>
    <row r="8" spans="1:2" ht="27" customHeight="1">
      <c r="A8" s="12" t="s">
        <v>118</v>
      </c>
      <c r="B8" s="13" t="s">
        <v>119</v>
      </c>
    </row>
    <row r="9" spans="1:2" ht="27" customHeight="1">
      <c r="A9" s="12" t="s">
        <v>120</v>
      </c>
      <c r="B9" s="13" t="s">
        <v>121</v>
      </c>
    </row>
    <row r="10" spans="1:2" ht="27" customHeight="1">
      <c r="A10" s="12" t="s">
        <v>122</v>
      </c>
      <c r="B10" s="13" t="s">
        <v>123</v>
      </c>
    </row>
    <row r="11" spans="1:2" ht="27" customHeight="1">
      <c r="A11" s="12" t="s">
        <v>124</v>
      </c>
      <c r="B11" s="13" t="s">
        <v>125</v>
      </c>
    </row>
    <row r="12" spans="1:2" ht="27" customHeight="1">
      <c r="A12" s="12" t="s">
        <v>126</v>
      </c>
      <c r="B12" s="13" t="s">
        <v>127</v>
      </c>
    </row>
    <row r="13" spans="1:2" ht="27" customHeight="1">
      <c r="A13" s="12" t="s">
        <v>128</v>
      </c>
      <c r="B13" s="13" t="s">
        <v>129</v>
      </c>
    </row>
    <row r="14" spans="1:2" ht="27" customHeight="1">
      <c r="A14" s="12" t="s">
        <v>130</v>
      </c>
      <c r="B14" s="13" t="s">
        <v>131</v>
      </c>
    </row>
    <row r="15" spans="1:2" ht="27" customHeight="1">
      <c r="A15" s="12" t="s">
        <v>132</v>
      </c>
      <c r="B15" s="13" t="s">
        <v>133</v>
      </c>
    </row>
    <row r="16" spans="1:2" ht="27" customHeight="1">
      <c r="A16" s="12" t="s">
        <v>134</v>
      </c>
      <c r="B16" s="13" t="s">
        <v>135</v>
      </c>
    </row>
    <row r="17" spans="1:2" ht="27" customHeight="1">
      <c r="A17" s="12" t="s">
        <v>136</v>
      </c>
      <c r="B17" s="13" t="s">
        <v>137</v>
      </c>
    </row>
    <row r="18" spans="1:2" ht="27" customHeight="1">
      <c r="A18" s="12" t="s">
        <v>138</v>
      </c>
      <c r="B18" s="13" t="s">
        <v>139</v>
      </c>
    </row>
    <row r="19" spans="1:2" ht="27" customHeight="1">
      <c r="A19" s="12" t="s">
        <v>140</v>
      </c>
      <c r="B19" s="13" t="s">
        <v>141</v>
      </c>
    </row>
    <row r="20" spans="1:2" ht="27" customHeight="1">
      <c r="A20" s="12"/>
      <c r="B20" s="13"/>
    </row>
  </sheetData>
  <mergeCells count="1">
    <mergeCell ref="A1:B3"/>
  </mergeCells>
  <phoneticPr fontId="15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5"/>
  <sheetViews>
    <sheetView workbookViewId="0"/>
  </sheetViews>
  <sheetFormatPr defaultRowHeight="16.5"/>
  <cols>
    <col min="1" max="1" width="10" customWidth="1"/>
    <col min="2" max="2" width="40" customWidth="1"/>
    <col min="3" max="3" width="45" customWidth="1"/>
  </cols>
  <sheetData>
    <row r="1" spans="1:3">
      <c r="A1" t="s">
        <v>142</v>
      </c>
      <c r="B1" t="s">
        <v>143</v>
      </c>
      <c r="C1" t="s">
        <v>144</v>
      </c>
    </row>
    <row r="2" spans="1:3">
      <c r="A2" t="s">
        <v>28</v>
      </c>
      <c r="B2" t="s">
        <v>145</v>
      </c>
    </row>
    <row r="3" spans="1:3">
      <c r="A3" t="s">
        <v>58</v>
      </c>
      <c r="B3" t="s">
        <v>146</v>
      </c>
    </row>
    <row r="4" spans="1:3">
      <c r="A4" t="s">
        <v>55</v>
      </c>
      <c r="B4" t="s">
        <v>147</v>
      </c>
    </row>
    <row r="5" spans="1:3">
      <c r="A5" t="s">
        <v>85</v>
      </c>
      <c r="B5" t="s">
        <v>148</v>
      </c>
    </row>
  </sheetData>
  <phoneticPr fontId="15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E4"/>
  <sheetViews>
    <sheetView workbookViewId="0"/>
  </sheetViews>
  <sheetFormatPr defaultRowHeight="16.5"/>
  <cols>
    <col min="1" max="1" width="6" customWidth="1"/>
    <col min="2" max="2" width="1.875" customWidth="1"/>
    <col min="3" max="3" width="2.625" customWidth="1"/>
    <col min="4" max="6" width="13" customWidth="1"/>
    <col min="7" max="7" width="16.25" customWidth="1"/>
    <col min="8" max="8" width="15" customWidth="1"/>
    <col min="9" max="9" width="6.75" customWidth="1"/>
    <col min="10" max="12" width="6.5" customWidth="1"/>
    <col min="13" max="57" width="2.875" customWidth="1"/>
  </cols>
  <sheetData>
    <row r="1" spans="1:57">
      <c r="M1" s="14">
        <v>1</v>
      </c>
      <c r="N1" s="14">
        <v>1</v>
      </c>
      <c r="O1" s="14">
        <v>1</v>
      </c>
      <c r="P1" s="14">
        <v>1</v>
      </c>
      <c r="Q1" s="14">
        <v>1</v>
      </c>
      <c r="R1" s="14">
        <v>2</v>
      </c>
      <c r="S1" s="14">
        <v>2</v>
      </c>
      <c r="T1" s="14">
        <v>2</v>
      </c>
      <c r="U1" s="14">
        <v>2</v>
      </c>
      <c r="V1" s="14">
        <v>2</v>
      </c>
      <c r="W1" s="14">
        <v>3</v>
      </c>
      <c r="X1" s="14">
        <v>3</v>
      </c>
      <c r="Y1" s="14">
        <v>3</v>
      </c>
      <c r="Z1" s="14">
        <v>3</v>
      </c>
      <c r="AA1" s="14">
        <v>3</v>
      </c>
      <c r="AB1" s="14">
        <v>4</v>
      </c>
      <c r="AC1" s="14">
        <v>4</v>
      </c>
      <c r="AD1" s="14">
        <v>4</v>
      </c>
      <c r="AE1" s="14">
        <v>4</v>
      </c>
      <c r="AF1" s="14">
        <v>4</v>
      </c>
      <c r="AG1" s="14">
        <v>5</v>
      </c>
      <c r="AH1" s="14">
        <v>5</v>
      </c>
      <c r="AI1" s="14">
        <v>5</v>
      </c>
      <c r="AJ1" s="14">
        <v>5</v>
      </c>
      <c r="AK1" s="14">
        <v>5</v>
      </c>
      <c r="AL1" s="14">
        <v>6</v>
      </c>
      <c r="AM1" s="14">
        <v>6</v>
      </c>
      <c r="AN1" s="14">
        <v>6</v>
      </c>
      <c r="AO1" s="14">
        <v>6</v>
      </c>
      <c r="AP1" s="14">
        <v>6</v>
      </c>
      <c r="AQ1" s="14">
        <v>7</v>
      </c>
      <c r="AR1" s="14">
        <v>7</v>
      </c>
      <c r="AS1" s="14">
        <v>7</v>
      </c>
      <c r="AT1" s="14">
        <v>7</v>
      </c>
      <c r="AU1" s="14">
        <v>7</v>
      </c>
      <c r="AV1" s="14">
        <v>8</v>
      </c>
      <c r="AW1" s="14">
        <v>8</v>
      </c>
      <c r="AX1" s="14">
        <v>8</v>
      </c>
      <c r="AY1" s="14">
        <v>8</v>
      </c>
      <c r="AZ1" s="14">
        <v>8</v>
      </c>
      <c r="BA1" s="14">
        <v>9</v>
      </c>
      <c r="BB1" s="14">
        <v>9</v>
      </c>
      <c r="BC1" s="14">
        <v>9</v>
      </c>
      <c r="BD1" s="14">
        <v>9</v>
      </c>
      <c r="BE1" s="14">
        <v>9</v>
      </c>
    </row>
    <row r="2" spans="1:57">
      <c r="A2" s="4"/>
      <c r="B2" s="5"/>
      <c r="C2" s="24" t="s">
        <v>149</v>
      </c>
      <c r="D2" s="23"/>
      <c r="E2" s="23"/>
      <c r="F2" s="23"/>
      <c r="G2" s="23"/>
      <c r="H2" s="6"/>
      <c r="I2" s="6"/>
      <c r="J2" s="17"/>
      <c r="K2" s="17"/>
      <c r="L2" s="17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</row>
    <row r="3" spans="1:57">
      <c r="A3" s="7"/>
      <c r="B3" s="8"/>
      <c r="C3" s="22" t="s">
        <v>150</v>
      </c>
      <c r="D3" s="23"/>
      <c r="E3" s="23"/>
      <c r="F3" s="23"/>
      <c r="G3" s="23"/>
      <c r="H3" s="9"/>
      <c r="I3" s="10">
        <v>0</v>
      </c>
      <c r="J3" s="18"/>
      <c r="K3" s="18">
        <v>0</v>
      </c>
      <c r="L3" s="18">
        <v>0</v>
      </c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</row>
    <row r="4" spans="1:57">
      <c r="C4" s="34" t="s">
        <v>151</v>
      </c>
      <c r="D4" s="33"/>
      <c r="E4" s="33"/>
      <c r="F4" s="33"/>
      <c r="G4" s="33"/>
      <c r="I4" s="11">
        <f>AVERAGE(I3)</f>
        <v>0</v>
      </c>
    </row>
  </sheetData>
  <mergeCells count="3">
    <mergeCell ref="C4:G4"/>
    <mergeCell ref="C2:G2"/>
    <mergeCell ref="C3:G3"/>
  </mergeCells>
  <phoneticPr fontId="15" type="noConversion"/>
  <conditionalFormatting sqref="M2:BE4">
    <cfRule type="expression" dxfId="1" priority="1" stopIfTrue="1">
      <formula>AND($J2="S",M$1&gt;=$K2,M$1&lt;=$L2)</formula>
    </cfRule>
    <cfRule type="expression" dxfId="0" priority="2" stopIfTrue="1">
      <formula>AND($J2="C",M$1&gt;=$K2,M$1&lt;=$L2)</formula>
    </cfRule>
  </conditionalFormatting>
  <pageMargins left="0.75" right="0.75" top="1" bottom="1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일정 관리</vt:lpstr>
      <vt:lpstr>인원별</vt:lpstr>
      <vt:lpstr>용어 사전</vt:lpstr>
      <vt:lpstr>설정</vt:lpstr>
      <vt:lpstr>_서식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2026-09-16T08:52:07Z</dcterms:created>
  <dcterms:modified xsi:type="dcterms:W3CDTF">2026-09-28T01:11:50Z</dcterms:modified>
</cp:coreProperties>
</file>