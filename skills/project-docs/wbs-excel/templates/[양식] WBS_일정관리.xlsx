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 관리" sheetId="1" state="visible" r:id="rId1"/>
    <sheet xmlns:r="http://schemas.openxmlformats.org/officeDocument/2006/relationships" name="용어 사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Nanum Gothic"/>
      <b val="1"/>
      <color rgb="FF0B5394"/>
      <sz val="30"/>
    </font>
    <font>
      <name val="맑은 고딕 Semilight"/>
      <b val="1"/>
      <sz val="12"/>
    </font>
    <font>
      <name val="Nanum Gothic"/>
      <color rgb="FF434343"/>
      <sz val="8"/>
    </font>
    <font>
      <name val="Nanum Gothic"/>
      <b val="1"/>
      <color rgb="FF000000"/>
      <sz val="9"/>
    </font>
    <font>
      <name val="Nanum Gothic"/>
      <b val="1"/>
      <color rgb="FFFFFFFF"/>
      <sz val="9"/>
    </font>
    <font>
      <name val="Nanum Gothic"/>
      <b val="1"/>
      <sz val="11"/>
    </font>
    <font>
      <name val="맑은 고딕"/>
      <b val="1"/>
      <sz val="11"/>
    </font>
    <font>
      <name val="Nanum Gothic"/>
      <color rgb="FF434343"/>
      <sz val="10"/>
    </font>
    <font>
      <name val="맑은 고딕"/>
      <color rgb="FF434343"/>
      <sz val="10"/>
    </font>
    <font>
      <name val="맑은 고딕"/>
      <b val="1"/>
      <color rgb="FF0B5394"/>
      <sz val="10"/>
    </font>
    <font>
      <name val="Nanum Gothic"/>
      <b val="1"/>
      <color rgb="FF0B5394"/>
      <sz val="10"/>
    </font>
    <font>
      <name val="Nanum Gothic"/>
      <b val="1"/>
      <color rgb="FF0B5394"/>
      <sz val="20"/>
    </font>
    <font>
      <name val="Nanum Gothic"/>
      <b val="1"/>
      <color rgb="FF434343"/>
      <sz val="10"/>
    </font>
  </fonts>
  <fills count="7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2" pivotButton="0" quotePrefix="0" xfId="0"/>
    <xf numFmtId="0" fontId="0" fillId="5" borderId="2" pivotButton="0" quotePrefix="0" xfId="0"/>
    <xf numFmtId="0" fontId="7" fillId="5" borderId="2" pivotButton="0" quotePrefix="0" xfId="0"/>
    <xf numFmtId="0" fontId="0" fillId="0" borderId="3" pivotButton="0" quotePrefix="0" xfId="0"/>
    <xf numFmtId="9" fontId="6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0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horizontal="center"/>
    </xf>
    <xf numFmtId="9" fontId="8" fillId="0" borderId="2" applyAlignment="1" pivotButton="0" quotePrefix="0" xfId="0">
      <alignment horizontal="center"/>
    </xf>
    <xf numFmtId="0" fontId="0" fillId="6" borderId="2" pivotButton="0" quotePrefix="0" xfId="0"/>
    <xf numFmtId="0" fontId="10" fillId="0" borderId="0" pivotButton="0" quotePrefix="0" xfId="0"/>
    <xf numFmtId="9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F62"/>
  <sheetViews>
    <sheetView showGridLines="0" workbookViewId="0">
      <pane xSplit="9" ySplit="7" topLeftCell="J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.88" customWidth="1" min="2" max="2"/>
    <col width="2.62" customWidth="1" min="3" max="3"/>
    <col width="16.25" customWidth="1" min="7" max="7"/>
    <col width="8.25" customWidth="1" min="8" max="8"/>
    <col width="5.25" customWidth="1" min="9" max="9"/>
    <col width="2.88" customWidth="1" min="10" max="10"/>
    <col width="2.88" customWidth="1" min="11" max="11"/>
    <col width="2.88" customWidth="1" min="12" max="12"/>
    <col width="2.88" customWidth="1" min="13" max="13"/>
    <col width="2.88" customWidth="1" min="14" max="14"/>
    <col width="2.88" customWidth="1" min="15" max="15"/>
    <col width="2.88" customWidth="1" min="16" max="16"/>
    <col width="2.88" customWidth="1" min="17" max="17"/>
    <col width="2.88" customWidth="1" min="18" max="18"/>
    <col width="2.88" customWidth="1" min="19" max="19"/>
    <col width="2.88" customWidth="1" min="20" max="20"/>
    <col width="2.88" customWidth="1" min="21" max="21"/>
    <col width="2.88" customWidth="1" min="22" max="22"/>
    <col width="2.88" customWidth="1" min="23" max="23"/>
    <col width="2.88" customWidth="1" min="24" max="24"/>
    <col width="2.88" customWidth="1" min="25" max="25"/>
    <col width="2.88" customWidth="1" min="26" max="26"/>
    <col width="2.88" customWidth="1" min="27" max="27"/>
    <col width="2.88" customWidth="1" min="28" max="28"/>
    <col width="2.88" customWidth="1" min="29" max="29"/>
    <col width="2.88" customWidth="1" min="30" max="30"/>
    <col width="2.88" customWidth="1" min="31" max="31"/>
    <col width="2.88" customWidth="1" min="32" max="32"/>
    <col width="2.88" customWidth="1" min="33" max="33"/>
    <col width="2.88" customWidth="1" min="34" max="34"/>
    <col width="2.88" customWidth="1" min="35" max="35"/>
    <col width="2.88" customWidth="1" min="36" max="36"/>
    <col width="2.88" customWidth="1" min="37" max="37"/>
    <col width="2.88" customWidth="1" min="38" max="38"/>
    <col width="2.88" customWidth="1" min="39" max="39"/>
    <col width="2.88" customWidth="1" min="40" max="40"/>
    <col width="2.88" customWidth="1" min="41" max="41"/>
    <col width="2.88" customWidth="1" min="42" max="42"/>
    <col width="2.88" customWidth="1" min="43" max="43"/>
    <col width="2.88" customWidth="1" min="44" max="44"/>
    <col width="2.88" customWidth="1" min="45" max="45"/>
    <col width="2.88" customWidth="1" min="46" max="46"/>
    <col width="2.88" customWidth="1" min="47" max="47"/>
    <col width="2.88" customWidth="1" min="48" max="48"/>
    <col width="2.88" customWidth="1" min="49" max="49"/>
    <col width="2.88" customWidth="1" min="50" max="50"/>
    <col width="2.88" customWidth="1" min="51" max="51"/>
    <col width="2.88" customWidth="1" min="52" max="52"/>
    <col width="2.88" customWidth="1" min="53" max="53"/>
    <col width="2.88" customWidth="1" min="54" max="54"/>
    <col width="2.88" customWidth="1" min="55" max="55"/>
    <col width="2.88" customWidth="1" min="56" max="56"/>
    <col width="2.88" customWidth="1" min="57" max="57"/>
    <col width="2.88" customWidth="1" min="58" max="58"/>
    <col width="2.88" customWidth="1" min="59" max="59"/>
    <col width="2.88" customWidth="1" min="60" max="60"/>
    <col width="2.88" customWidth="1" min="61" max="61"/>
    <col width="2.88" customWidth="1" min="62" max="62"/>
    <col width="2.88" customWidth="1" min="63" max="63"/>
    <col width="2.88" customWidth="1" min="64" max="64"/>
    <col width="2.88" customWidth="1" min="65" max="65"/>
    <col width="2.88" customWidth="1" min="66" max="66"/>
    <col width="2.88" customWidth="1" min="67" max="67"/>
    <col width="2.88" customWidth="1" min="68" max="68"/>
    <col width="2.88" customWidth="1" min="69" max="69"/>
    <col width="2.88" customWidth="1" min="70" max="70"/>
    <col width="2.88" customWidth="1" min="71" max="71"/>
    <col width="2.88" customWidth="1" min="72" max="72"/>
    <col width="2.88" customWidth="1" min="73" max="73"/>
    <col width="2.88" customWidth="1" min="74" max="74"/>
    <col width="2.88" customWidth="1" min="75" max="75"/>
    <col width="2.88" customWidth="1" min="76" max="76"/>
    <col width="2.88" customWidth="1" min="77" max="77"/>
    <col width="2.88" customWidth="1" min="78" max="78"/>
    <col width="2.88" customWidth="1" min="79" max="79"/>
    <col width="2.88" customWidth="1" min="80" max="80"/>
    <col width="2.88" customWidth="1" min="81" max="81"/>
    <col width="2.88" customWidth="1" min="82" max="82"/>
    <col width="2.88" customWidth="1" min="83" max="83"/>
    <col width="2.88" customWidth="1" min="84" max="84"/>
  </cols>
  <sheetData>
    <row r="2" ht="17.25" customHeight="1">
      <c r="A2" s="1" t="inlineStr">
        <is>
          <t>S-OJT 일정 관리</t>
        </is>
      </c>
    </row>
    <row r="3" ht="17.25" customHeight="1"/>
    <row r="4" ht="17.25" customHeight="1">
      <c r="A4" s="2" t="inlineStr">
        <is>
          <t>Agent를 위한 사내 산출물 통합 컨텍스트 허브 개발</t>
        </is>
      </c>
    </row>
    <row r="5" ht="17.25" customHeight="1">
      <c r="A5" s="3" t="inlineStr">
        <is>
          <t>개발 · 15주 (2026-09-01 ~ 2026-12-14) · 작성 2026-09-11</t>
        </is>
      </c>
    </row>
    <row r="6" ht="17.25" customHeight="1">
      <c r="A6" s="4" t="inlineStr">
        <is>
          <t>번호</t>
        </is>
      </c>
      <c r="C6" s="4" t="inlineStr">
        <is>
          <t>작업 제목</t>
        </is>
      </c>
      <c r="H6" s="4" t="inlineStr">
        <is>
          <t>담당자</t>
        </is>
      </c>
      <c r="I6" s="4" t="inlineStr">
        <is>
          <t>완료 비율</t>
        </is>
      </c>
      <c r="J6" s="5" t="inlineStr">
        <is>
          <t>1M</t>
        </is>
      </c>
      <c r="AD6" s="5" t="inlineStr">
        <is>
          <t>2M</t>
        </is>
      </c>
      <c r="AX6" s="5" t="inlineStr">
        <is>
          <t>3M</t>
        </is>
      </c>
      <c r="BR6" s="5" t="inlineStr">
        <is>
          <t>4M</t>
        </is>
      </c>
    </row>
    <row r="7" ht="27.95" customHeight="1">
      <c r="J7" s="6" t="inlineStr">
        <is>
          <t>1W
09/01</t>
        </is>
      </c>
      <c r="O7" s="6" t="inlineStr">
        <is>
          <t>2W
09/08</t>
        </is>
      </c>
      <c r="T7" s="6" t="inlineStr">
        <is>
          <t>3W
09/15</t>
        </is>
      </c>
      <c r="Y7" s="6" t="inlineStr">
        <is>
          <t>4W
09/22</t>
        </is>
      </c>
      <c r="AD7" s="6" t="inlineStr">
        <is>
          <t>5W
09/29</t>
        </is>
      </c>
      <c r="AI7" s="6" t="inlineStr">
        <is>
          <t>6W
10/06</t>
        </is>
      </c>
      <c r="AN7" s="6" t="inlineStr">
        <is>
          <t>7W
10/13</t>
        </is>
      </c>
      <c r="AS7" s="6" t="inlineStr">
        <is>
          <t>8W
10/20</t>
        </is>
      </c>
      <c r="AX7" s="6" t="inlineStr">
        <is>
          <t>9W
10/27</t>
        </is>
      </c>
      <c r="BC7" s="6" t="inlineStr">
        <is>
          <t>10W
11/03</t>
        </is>
      </c>
      <c r="BH7" s="6" t="inlineStr">
        <is>
          <t>11W
11/10</t>
        </is>
      </c>
      <c r="BM7" s="6" t="inlineStr">
        <is>
          <t>12W
11/17</t>
        </is>
      </c>
      <c r="BR7" s="6" t="inlineStr">
        <is>
          <t>13W
11/24</t>
        </is>
      </c>
      <c r="BW7" s="6" t="inlineStr">
        <is>
          <t>14W
12/01</t>
        </is>
      </c>
      <c r="CB7" s="6" t="inlineStr">
        <is>
          <t>15W
12/08</t>
        </is>
      </c>
    </row>
    <row r="8">
      <c r="A8" s="7" t="inlineStr">
        <is>
          <t>1</t>
        </is>
      </c>
      <c r="B8" s="8" t="n"/>
      <c r="C8" s="9" t="inlineStr">
        <is>
          <t>프로젝트 관리</t>
        </is>
      </c>
      <c r="D8" s="10" t="n"/>
      <c r="E8" s="10" t="n"/>
      <c r="F8" s="10" t="n"/>
      <c r="G8" s="10" t="n"/>
      <c r="H8" s="8" t="n"/>
      <c r="I8" s="11">
        <f>SUM(I9:I14)/COUNTA(I9:I14)</f>
        <v/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</row>
    <row r="9">
      <c r="A9" s="12" t="inlineStr">
        <is>
          <t>1.1</t>
        </is>
      </c>
      <c r="B9" s="13" t="n"/>
      <c r="C9" s="14" t="inlineStr">
        <is>
          <t>주제 선정 및 과제 정의</t>
        </is>
      </c>
      <c r="D9" s="10" t="n"/>
      <c r="E9" s="10" t="n"/>
      <c r="F9" s="10" t="n"/>
      <c r="G9" s="10" t="n"/>
      <c r="H9" s="15" t="inlineStr">
        <is>
          <t>정다우</t>
        </is>
      </c>
      <c r="I9" s="16" t="n">
        <v>1</v>
      </c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</row>
    <row r="10">
      <c r="A10" s="12" t="inlineStr">
        <is>
          <t>1.2</t>
        </is>
      </c>
      <c r="B10" s="13" t="n"/>
      <c r="C10" s="14" t="inlineStr">
        <is>
          <t>계획·일정 관리</t>
        </is>
      </c>
      <c r="D10" s="10" t="n"/>
      <c r="E10" s="10" t="n"/>
      <c r="F10" s="10" t="n"/>
      <c r="G10" s="10" t="n"/>
      <c r="H10" s="15" t="inlineStr">
        <is>
          <t>정다우</t>
        </is>
      </c>
      <c r="I10" s="16" t="n">
        <v>0.3</v>
      </c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</row>
    <row r="11">
      <c r="A11" s="12" t="inlineStr">
        <is>
          <t>1.3</t>
        </is>
      </c>
      <c r="B11" s="13" t="n"/>
      <c r="C11" s="14" t="inlineStr">
        <is>
          <t>진척 점검·회의록 작성</t>
        </is>
      </c>
      <c r="D11" s="10" t="n"/>
      <c r="E11" s="10" t="n"/>
      <c r="F11" s="10" t="n"/>
      <c r="G11" s="10" t="n"/>
      <c r="H11" s="15" t="inlineStr">
        <is>
          <t>정다우</t>
        </is>
      </c>
      <c r="I11" s="16" t="n">
        <v>0.1</v>
      </c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</row>
    <row r="12">
      <c r="A12" s="12" t="inlineStr">
        <is>
          <t>1.4</t>
        </is>
      </c>
      <c r="B12" s="13" t="n"/>
      <c r="C12" s="14" t="inlineStr">
        <is>
          <t>착수 문서 작성 (과제제안서·수행계획서·운영 시나리오)</t>
        </is>
      </c>
      <c r="D12" s="10" t="n"/>
      <c r="E12" s="10" t="n"/>
      <c r="F12" s="10" t="n"/>
      <c r="G12" s="10" t="n"/>
      <c r="H12" s="15" t="inlineStr">
        <is>
          <t>정다우</t>
        </is>
      </c>
      <c r="I12" s="16" t="n">
        <v>0</v>
      </c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  <c r="BS12" s="13" t="n"/>
      <c r="BT12" s="13" t="n"/>
      <c r="BU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D12" s="13" t="n"/>
      <c r="CE12" s="13" t="n"/>
      <c r="CF12" s="13" t="n"/>
    </row>
    <row r="13">
      <c r="A13" s="12" t="inlineStr">
        <is>
          <t>1.5</t>
        </is>
      </c>
      <c r="B13" s="13" t="n"/>
      <c r="C13" s="14" t="inlineStr">
        <is>
          <t>학습활동서 작성 (주차별 누적)</t>
        </is>
      </c>
      <c r="D13" s="10" t="n"/>
      <c r="E13" s="10" t="n"/>
      <c r="F13" s="10" t="n"/>
      <c r="G13" s="10" t="n"/>
      <c r="H13" s="15" t="inlineStr">
        <is>
          <t>정다우</t>
        </is>
      </c>
      <c r="I13" s="16" t="n">
        <v>0.1</v>
      </c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</row>
    <row r="14">
      <c r="A14" s="12" t="inlineStr">
        <is>
          <t>1.6</t>
        </is>
      </c>
      <c r="B14" s="13" t="n"/>
      <c r="C14" s="14" t="inlineStr">
        <is>
          <t>OJT Project 보고서 작성 (전 과정 종합)</t>
        </is>
      </c>
      <c r="D14" s="10" t="n"/>
      <c r="E14" s="10" t="n"/>
      <c r="F14" s="10" t="n"/>
      <c r="G14" s="10" t="n"/>
      <c r="H14" s="15" t="inlineStr">
        <is>
          <t>정다우</t>
        </is>
      </c>
      <c r="I14" s="16" t="n">
        <v>0</v>
      </c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7" t="n"/>
      <c r="CC14" s="17" t="n"/>
      <c r="CD14" s="17" t="n"/>
      <c r="CE14" s="17" t="n"/>
      <c r="CF14" s="17" t="n"/>
    </row>
    <row r="15">
      <c r="A15" s="7" t="inlineStr">
        <is>
          <t>2</t>
        </is>
      </c>
      <c r="B15" s="8" t="n"/>
      <c r="C15" s="9" t="inlineStr">
        <is>
          <t>요구분석 및 설계</t>
        </is>
      </c>
      <c r="D15" s="10" t="n"/>
      <c r="E15" s="10" t="n"/>
      <c r="F15" s="10" t="n"/>
      <c r="G15" s="10" t="n"/>
      <c r="H15" s="8" t="n"/>
      <c r="I15" s="11">
        <f>SUM(I16:I23)/COUNTA(I16:I23)</f>
        <v/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</row>
    <row r="16">
      <c r="A16" s="12" t="inlineStr">
        <is>
          <t>2.1</t>
        </is>
      </c>
      <c r="B16" s="13" t="n"/>
      <c r="C16" s="14" t="inlineStr">
        <is>
          <t>요구사항 명세</t>
        </is>
      </c>
      <c r="D16" s="10" t="n"/>
      <c r="E16" s="10" t="n"/>
      <c r="F16" s="10" t="n"/>
      <c r="G16" s="10" t="n"/>
      <c r="H16" s="15" t="inlineStr">
        <is>
          <t>정다우</t>
        </is>
      </c>
      <c r="I16" s="16" t="n">
        <v>0</v>
      </c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13" t="n"/>
      <c r="CF16" s="13" t="n"/>
    </row>
    <row r="17">
      <c r="A17" s="12" t="inlineStr">
        <is>
          <t>2.2</t>
        </is>
      </c>
      <c r="B17" s="13" t="n"/>
      <c r="C17" s="14" t="inlineStr">
        <is>
          <t>기술 조사 (외부 도구·라이브러리)</t>
        </is>
      </c>
      <c r="D17" s="10" t="n"/>
      <c r="E17" s="10" t="n"/>
      <c r="F17" s="10" t="n"/>
      <c r="G17" s="10" t="n"/>
      <c r="H17" s="15" t="inlineStr">
        <is>
          <t>정다우</t>
        </is>
      </c>
      <c r="I17" s="16" t="n">
        <v>0</v>
      </c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</row>
    <row r="18">
      <c r="A18" s="12" t="inlineStr">
        <is>
          <t>2.3</t>
        </is>
      </c>
      <c r="B18" s="13" t="n"/>
      <c r="C18" s="14" t="inlineStr">
        <is>
          <t>제약 조건 확인 (인증·보안 규정)</t>
        </is>
      </c>
      <c r="D18" s="10" t="n"/>
      <c r="E18" s="10" t="n"/>
      <c r="F18" s="10" t="n"/>
      <c r="G18" s="10" t="n"/>
      <c r="H18" s="15" t="inlineStr">
        <is>
          <t>정다우</t>
        </is>
      </c>
      <c r="I18" s="16" t="n">
        <v>0</v>
      </c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7" t="n"/>
      <c r="U18" s="17" t="n"/>
      <c r="V18" s="17" t="n"/>
      <c r="W18" s="17" t="n"/>
      <c r="X18" s="17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</row>
    <row r="19">
      <c r="A19" s="12" t="inlineStr">
        <is>
          <t>2.4</t>
        </is>
      </c>
      <c r="B19" s="13" t="n"/>
      <c r="C19" s="14" t="inlineStr">
        <is>
          <t>시스템 아키텍처 설계</t>
        </is>
      </c>
      <c r="D19" s="10" t="n"/>
      <c r="E19" s="10" t="n"/>
      <c r="F19" s="10" t="n"/>
      <c r="G19" s="10" t="n"/>
      <c r="H19" s="15" t="inlineStr">
        <is>
          <t>정다우</t>
        </is>
      </c>
      <c r="I19" s="16" t="n">
        <v>0.5</v>
      </c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7" t="n"/>
      <c r="Z19" s="17" t="n"/>
      <c r="AA19" s="17" t="n"/>
      <c r="AB19" s="17" t="n"/>
      <c r="AC19" s="17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</row>
    <row r="20">
      <c r="A20" s="12" t="inlineStr">
        <is>
          <t>2.5</t>
        </is>
      </c>
      <c r="B20" s="13" t="n"/>
      <c r="C20" s="14" t="inlineStr">
        <is>
          <t>데이터 모델 설계·ERD</t>
        </is>
      </c>
      <c r="D20" s="10" t="n"/>
      <c r="E20" s="10" t="n"/>
      <c r="F20" s="10" t="n"/>
      <c r="G20" s="10" t="n"/>
      <c r="H20" s="15" t="inlineStr">
        <is>
          <t>정다우</t>
        </is>
      </c>
      <c r="I20" s="16" t="n">
        <v>0</v>
      </c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D20" s="13" t="n"/>
      <c r="CE20" s="13" t="n"/>
      <c r="CF20" s="13" t="n"/>
    </row>
    <row r="21">
      <c r="A21" s="12" t="inlineStr">
        <is>
          <t>2.6</t>
        </is>
      </c>
      <c r="B21" s="13" t="n"/>
      <c r="C21" s="14" t="inlineStr">
        <is>
          <t>API·인증 설계</t>
        </is>
      </c>
      <c r="D21" s="10" t="n"/>
      <c r="E21" s="10" t="n"/>
      <c r="F21" s="10" t="n"/>
      <c r="G21" s="10" t="n"/>
      <c r="H21" s="15" t="inlineStr">
        <is>
          <t>정다우</t>
        </is>
      </c>
      <c r="I21" s="16" t="n">
        <v>0</v>
      </c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7" t="n"/>
      <c r="AE21" s="17" t="n"/>
      <c r="AF21" s="17" t="n"/>
      <c r="AG21" s="17" t="n"/>
      <c r="AH21" s="17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</row>
    <row r="22">
      <c r="A22" s="12" t="inlineStr">
        <is>
          <t>2.7</t>
        </is>
      </c>
      <c r="B22" s="13" t="n"/>
      <c r="C22" s="14" t="inlineStr">
        <is>
          <t>UI 설계·와이어프레임</t>
        </is>
      </c>
      <c r="D22" s="10" t="n"/>
      <c r="E22" s="10" t="n"/>
      <c r="F22" s="10" t="n"/>
      <c r="G22" s="10" t="n"/>
      <c r="H22" s="15" t="inlineStr">
        <is>
          <t>정다우</t>
        </is>
      </c>
      <c r="I22" s="16" t="n">
        <v>0</v>
      </c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7" t="n"/>
      <c r="AE22" s="17" t="n"/>
      <c r="AF22" s="17" t="n"/>
      <c r="AG22" s="17" t="n"/>
      <c r="AH22" s="17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  <c r="BS22" s="13" t="n"/>
      <c r="BT22" s="13" t="n"/>
      <c r="BU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</row>
    <row r="23">
      <c r="A23" s="12" t="inlineStr">
        <is>
          <t>2.8</t>
        </is>
      </c>
      <c r="B23" s="13" t="n"/>
      <c r="C23" s="14" t="inlineStr">
        <is>
          <t>개발환경 구축 (저장소 제외 규칙 포함)</t>
        </is>
      </c>
      <c r="D23" s="10" t="n"/>
      <c r="E23" s="10" t="n"/>
      <c r="F23" s="10" t="n"/>
      <c r="G23" s="10" t="n"/>
      <c r="H23" s="15" t="inlineStr">
        <is>
          <t>정다우</t>
        </is>
      </c>
      <c r="I23" s="16" t="n">
        <v>0</v>
      </c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7" t="n"/>
      <c r="AE23" s="17" t="n"/>
      <c r="AF23" s="17" t="n"/>
      <c r="AG23" s="17" t="n"/>
      <c r="AH23" s="17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</row>
    <row r="24">
      <c r="A24" s="7" t="inlineStr">
        <is>
          <t>3</t>
        </is>
      </c>
      <c r="B24" s="8" t="n"/>
      <c r="C24" s="9" t="inlineStr">
        <is>
          <t>서버 개발</t>
        </is>
      </c>
      <c r="D24" s="10" t="n"/>
      <c r="E24" s="10" t="n"/>
      <c r="F24" s="10" t="n"/>
      <c r="G24" s="10" t="n"/>
      <c r="H24" s="8" t="n"/>
      <c r="I24" s="11">
        <f>SUM(I25:I32)/COUNTA(I25:I32)</f>
        <v/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</row>
    <row r="25">
      <c r="A25" s="12" t="inlineStr">
        <is>
          <t>3.1</t>
        </is>
      </c>
      <c r="B25" s="13" t="n"/>
      <c r="C25" s="14" t="inlineStr">
        <is>
          <t>데이터베이스 구축 (스키마·마이그레이션)</t>
        </is>
      </c>
      <c r="D25" s="10" t="n"/>
      <c r="E25" s="10" t="n"/>
      <c r="F25" s="10" t="n"/>
      <c r="G25" s="10" t="n"/>
      <c r="H25" s="15" t="inlineStr">
        <is>
          <t>정다우</t>
        </is>
      </c>
      <c r="I25" s="16" t="n">
        <v>0</v>
      </c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7" t="n"/>
      <c r="AJ25" s="17" t="n"/>
      <c r="AK25" s="17" t="n"/>
      <c r="AL25" s="17" t="n"/>
      <c r="AM25" s="17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</row>
    <row r="26">
      <c r="A26" s="12" t="inlineStr">
        <is>
          <t>3.2</t>
        </is>
      </c>
      <c r="B26" s="13" t="n"/>
      <c r="C26" s="14" t="inlineStr">
        <is>
          <t>기본 CRUD·목록 질의 구현</t>
        </is>
      </c>
      <c r="D26" s="10" t="n"/>
      <c r="E26" s="10" t="n"/>
      <c r="F26" s="10" t="n"/>
      <c r="G26" s="10" t="n"/>
      <c r="H26" s="15" t="inlineStr">
        <is>
          <t>정다우</t>
        </is>
      </c>
      <c r="I26" s="16" t="n">
        <v>0</v>
      </c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7" t="n"/>
      <c r="AJ26" s="17" t="n"/>
      <c r="AK26" s="17" t="n"/>
      <c r="AL26" s="17" t="n"/>
      <c r="AM26" s="17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  <c r="BP26" s="13" t="n"/>
      <c r="BQ26" s="13" t="n"/>
      <c r="BR26" s="13" t="n"/>
      <c r="BS26" s="13" t="n"/>
      <c r="BT26" s="13" t="n"/>
      <c r="BU26" s="13" t="n"/>
      <c r="BV26" s="13" t="n"/>
      <c r="BW26" s="13" t="n"/>
      <c r="BX26" s="13" t="n"/>
      <c r="BY26" s="13" t="n"/>
      <c r="BZ26" s="13" t="n"/>
      <c r="CA26" s="13" t="n"/>
      <c r="CB26" s="13" t="n"/>
      <c r="CC26" s="13" t="n"/>
      <c r="CD26" s="13" t="n"/>
      <c r="CE26" s="13" t="n"/>
      <c r="CF26" s="13" t="n"/>
    </row>
    <row r="27">
      <c r="A27" s="12" t="inlineStr">
        <is>
          <t>3.3</t>
        </is>
      </c>
      <c r="B27" s="13" t="n"/>
      <c r="C27" s="14" t="inlineStr">
        <is>
          <t>조회 API (목록·필터·페이지네이션)</t>
        </is>
      </c>
      <c r="D27" s="10" t="n"/>
      <c r="E27" s="10" t="n"/>
      <c r="F27" s="10" t="n"/>
      <c r="G27" s="10" t="n"/>
      <c r="H27" s="15" t="inlineStr">
        <is>
          <t>정다우</t>
        </is>
      </c>
      <c r="I27" s="16" t="n">
        <v>0</v>
      </c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7" t="n"/>
      <c r="AO27" s="17" t="n"/>
      <c r="AP27" s="17" t="n"/>
      <c r="AQ27" s="17" t="n"/>
      <c r="AR27" s="17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</row>
    <row r="28">
      <c r="A28" s="12" t="inlineStr">
        <is>
          <t>3.4</t>
        </is>
      </c>
      <c r="B28" s="13" t="n"/>
      <c r="C28" s="14" t="inlineStr">
        <is>
          <t>사용자 인증 (OAuth·세션)</t>
        </is>
      </c>
      <c r="D28" s="10" t="n"/>
      <c r="E28" s="10" t="n"/>
      <c r="F28" s="10" t="n"/>
      <c r="G28" s="10" t="n"/>
      <c r="H28" s="15" t="inlineStr">
        <is>
          <t>정다우</t>
        </is>
      </c>
      <c r="I28" s="16" t="n">
        <v>0</v>
      </c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7" t="n"/>
      <c r="AO28" s="17" t="n"/>
      <c r="AP28" s="17" t="n"/>
      <c r="AQ28" s="17" t="n"/>
      <c r="AR28" s="17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  <c r="BS28" s="13" t="n"/>
      <c r="BT28" s="13" t="n"/>
      <c r="BU28" s="13" t="n"/>
      <c r="BV28" s="13" t="n"/>
      <c r="BW28" s="13" t="n"/>
      <c r="BX28" s="13" t="n"/>
      <c r="BY28" s="13" t="n"/>
      <c r="BZ28" s="13" t="n"/>
      <c r="CA28" s="13" t="n"/>
      <c r="CB28" s="13" t="n"/>
      <c r="CC28" s="13" t="n"/>
      <c r="CD28" s="13" t="n"/>
      <c r="CE28" s="13" t="n"/>
      <c r="CF28" s="13" t="n"/>
    </row>
    <row r="29">
      <c r="A29" s="12" t="inlineStr">
        <is>
          <t>3.5</t>
        </is>
      </c>
      <c r="B29" s="13" t="n"/>
      <c r="C29" s="14" t="inlineStr">
        <is>
          <t>기기 인증·PC 등록·폐기</t>
        </is>
      </c>
      <c r="D29" s="10" t="n"/>
      <c r="E29" s="10" t="n"/>
      <c r="F29" s="10" t="n"/>
      <c r="G29" s="10" t="n"/>
      <c r="H29" s="15" t="inlineStr">
        <is>
          <t>정다우</t>
        </is>
      </c>
      <c r="I29" s="16" t="n">
        <v>0</v>
      </c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7" t="n"/>
      <c r="AT29" s="17" t="n"/>
      <c r="AU29" s="17" t="n"/>
      <c r="AV29" s="17" t="n"/>
      <c r="AW29" s="17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</row>
    <row r="30">
      <c r="A30" s="12" t="inlineStr">
        <is>
          <t>3.6</t>
        </is>
      </c>
      <c r="B30" s="13" t="n"/>
      <c r="C30" s="14" t="inlineStr">
        <is>
          <t>동기화 수신 처리</t>
        </is>
      </c>
      <c r="D30" s="10" t="n"/>
      <c r="E30" s="10" t="n"/>
      <c r="F30" s="10" t="n"/>
      <c r="G30" s="10" t="n"/>
      <c r="H30" s="15" t="inlineStr">
        <is>
          <t>정다우</t>
        </is>
      </c>
      <c r="I30" s="16" t="n">
        <v>0</v>
      </c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7" t="n"/>
      <c r="AT30" s="17" t="n"/>
      <c r="AU30" s="17" t="n"/>
      <c r="AV30" s="17" t="n"/>
      <c r="AW30" s="17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  <c r="BS30" s="13" t="n"/>
      <c r="BT30" s="13" t="n"/>
      <c r="BU30" s="13" t="n"/>
      <c r="BV30" s="13" t="n"/>
      <c r="BW30" s="13" t="n"/>
      <c r="BX30" s="13" t="n"/>
      <c r="BY30" s="13" t="n"/>
      <c r="BZ30" s="13" t="n"/>
      <c r="CA30" s="13" t="n"/>
      <c r="CB30" s="13" t="n"/>
      <c r="CC30" s="13" t="n"/>
      <c r="CD30" s="13" t="n"/>
      <c r="CE30" s="13" t="n"/>
      <c r="CF30" s="13" t="n"/>
    </row>
    <row r="31">
      <c r="A31" s="12" t="inlineStr">
        <is>
          <t>3.7</t>
        </is>
      </c>
      <c r="B31" s="13" t="n"/>
      <c r="C31" s="14" t="inlineStr">
        <is>
          <t>전달 큐·디스패처 (3회 재시도)</t>
        </is>
      </c>
      <c r="D31" s="10" t="n"/>
      <c r="E31" s="10" t="n"/>
      <c r="F31" s="10" t="n"/>
      <c r="G31" s="10" t="n"/>
      <c r="H31" s="15" t="inlineStr">
        <is>
          <t>정다우</t>
        </is>
      </c>
      <c r="I31" s="16" t="n">
        <v>0</v>
      </c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7" t="n"/>
      <c r="AT31" s="17" t="n"/>
      <c r="AU31" s="17" t="n"/>
      <c r="AV31" s="17" t="n"/>
      <c r="AW31" s="17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</row>
    <row r="32">
      <c r="A32" s="12" t="inlineStr">
        <is>
          <t>3.8</t>
        </is>
      </c>
      <c r="B32" s="13" t="n"/>
      <c r="C32" s="14" t="inlineStr">
        <is>
          <t>연계 상태 모니터링·진단</t>
        </is>
      </c>
      <c r="D32" s="10" t="n"/>
      <c r="E32" s="10" t="n"/>
      <c r="F32" s="10" t="n"/>
      <c r="G32" s="10" t="n"/>
      <c r="H32" s="15" t="inlineStr">
        <is>
          <t>정다우</t>
        </is>
      </c>
      <c r="I32" s="16" t="n">
        <v>0</v>
      </c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  <c r="BP32" s="13" t="n"/>
      <c r="BQ32" s="13" t="n"/>
      <c r="BR32" s="17" t="n"/>
      <c r="BS32" s="17" t="n"/>
      <c r="BT32" s="17" t="n"/>
      <c r="BU32" s="17" t="n"/>
      <c r="BV32" s="17" t="n"/>
      <c r="BW32" s="13" t="n"/>
      <c r="BX32" s="13" t="n"/>
      <c r="BY32" s="13" t="n"/>
      <c r="BZ32" s="13" t="n"/>
      <c r="CA32" s="13" t="n"/>
      <c r="CB32" s="13" t="n"/>
      <c r="CC32" s="13" t="n"/>
      <c r="CD32" s="13" t="n"/>
      <c r="CE32" s="13" t="n"/>
      <c r="CF32" s="13" t="n"/>
    </row>
    <row r="33">
      <c r="A33" s="7" t="inlineStr">
        <is>
          <t>4</t>
        </is>
      </c>
      <c r="B33" s="8" t="n"/>
      <c r="C33" s="9" t="inlineStr">
        <is>
          <t>PC 에이전트 개발</t>
        </is>
      </c>
      <c r="D33" s="10" t="n"/>
      <c r="E33" s="10" t="n"/>
      <c r="F33" s="10" t="n"/>
      <c r="G33" s="10" t="n"/>
      <c r="H33" s="8" t="n"/>
      <c r="I33" s="11">
        <f>SUM(I34:I45)/COUNTA(I34:I45)</f>
        <v/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</row>
    <row r="34">
      <c r="A34" s="12" t="inlineStr">
        <is>
          <t>4.1</t>
        </is>
      </c>
      <c r="B34" s="13" t="n"/>
      <c r="C34" s="14" t="inlineStr">
        <is>
          <t>에이전트 기본 구조</t>
        </is>
      </c>
      <c r="D34" s="10" t="n"/>
      <c r="E34" s="10" t="n"/>
      <c r="F34" s="10" t="n"/>
      <c r="G34" s="10" t="n"/>
      <c r="H34" s="15" t="inlineStr">
        <is>
          <t>정다우</t>
        </is>
      </c>
      <c r="I34" s="16" t="n">
        <v>0</v>
      </c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7" t="n"/>
      <c r="AY34" s="17" t="n"/>
      <c r="AZ34" s="17" t="n"/>
      <c r="BA34" s="17" t="n"/>
      <c r="BB34" s="17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  <c r="BP34" s="13" t="n"/>
      <c r="BQ34" s="13" t="n"/>
      <c r="BR34" s="13" t="n"/>
      <c r="BS34" s="13" t="n"/>
      <c r="BT34" s="13" t="n"/>
      <c r="BU34" s="13" t="n"/>
      <c r="BV34" s="13" t="n"/>
      <c r="BW34" s="13" t="n"/>
      <c r="BX34" s="13" t="n"/>
      <c r="BY34" s="13" t="n"/>
      <c r="BZ34" s="13" t="n"/>
      <c r="CA34" s="13" t="n"/>
      <c r="CB34" s="13" t="n"/>
      <c r="CC34" s="13" t="n"/>
      <c r="CD34" s="13" t="n"/>
      <c r="CE34" s="13" t="n"/>
      <c r="CF34" s="13" t="n"/>
    </row>
    <row r="35">
      <c r="A35" s="12" t="inlineStr">
        <is>
          <t>4.1.1</t>
        </is>
      </c>
      <c r="B35" s="13" t="n"/>
      <c r="C35" s="13" t="n"/>
      <c r="D35" s="14" t="inlineStr">
        <is>
          <t>기기 등록·토큰 인증</t>
        </is>
      </c>
      <c r="E35" s="10" t="n"/>
      <c r="F35" s="10" t="n"/>
      <c r="G35" s="10" t="n"/>
      <c r="H35" s="15" t="inlineStr">
        <is>
          <t>정다우</t>
        </is>
      </c>
      <c r="I35" s="16" t="n">
        <v>0</v>
      </c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7" t="n"/>
      <c r="AY35" s="17" t="n"/>
      <c r="AZ35" s="17" t="n"/>
      <c r="BA35" s="17" t="n"/>
      <c r="BB35" s="17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</row>
    <row r="36">
      <c r="A36" s="12" t="inlineStr">
        <is>
          <t>4.1.2</t>
        </is>
      </c>
      <c r="B36" s="13" t="n"/>
      <c r="C36" s="13" t="n"/>
      <c r="D36" s="14" t="inlineStr">
        <is>
          <t>폴링 루프(30초)·재시도(최대 5분)</t>
        </is>
      </c>
      <c r="E36" s="10" t="n"/>
      <c r="F36" s="10" t="n"/>
      <c r="G36" s="10" t="n"/>
      <c r="H36" s="15" t="inlineStr">
        <is>
          <t>정다우</t>
        </is>
      </c>
      <c r="I36" s="16" t="n">
        <v>0</v>
      </c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7" t="n"/>
      <c r="AY36" s="17" t="n"/>
      <c r="AZ36" s="17" t="n"/>
      <c r="BA36" s="17" t="n"/>
      <c r="BB36" s="17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  <c r="BP36" s="13" t="n"/>
      <c r="BQ36" s="13" t="n"/>
      <c r="BR36" s="13" t="n"/>
      <c r="BS36" s="13" t="n"/>
      <c r="BT36" s="13" t="n"/>
      <c r="BU36" s="13" t="n"/>
      <c r="BV36" s="13" t="n"/>
      <c r="BW36" s="13" t="n"/>
      <c r="BX36" s="13" t="n"/>
      <c r="BY36" s="13" t="n"/>
      <c r="BZ36" s="13" t="n"/>
      <c r="CA36" s="13" t="n"/>
      <c r="CB36" s="13" t="n"/>
      <c r="CC36" s="13" t="n"/>
      <c r="CD36" s="13" t="n"/>
      <c r="CE36" s="13" t="n"/>
      <c r="CF36" s="13" t="n"/>
    </row>
    <row r="37">
      <c r="A37" s="12" t="inlineStr">
        <is>
          <t>4.1.3</t>
        </is>
      </c>
      <c r="B37" s="13" t="n"/>
      <c r="C37" s="13" t="n"/>
      <c r="D37" s="14" t="inlineStr">
        <is>
          <t>파일 수신·전달 실행</t>
        </is>
      </c>
      <c r="E37" s="10" t="n"/>
      <c r="F37" s="10" t="n"/>
      <c r="G37" s="10" t="n"/>
      <c r="H37" s="15" t="inlineStr">
        <is>
          <t>정다우</t>
        </is>
      </c>
      <c r="I37" s="16" t="n">
        <v>0</v>
      </c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7" t="n"/>
      <c r="AY37" s="17" t="n"/>
      <c r="AZ37" s="17" t="n"/>
      <c r="BA37" s="17" t="n"/>
      <c r="BB37" s="17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</row>
    <row r="38">
      <c r="A38" s="12" t="inlineStr">
        <is>
          <t>4.2</t>
        </is>
      </c>
      <c r="B38" s="13" t="n"/>
      <c r="C38" s="14" t="inlineStr">
        <is>
          <t>메신저 로그 파서 구현</t>
        </is>
      </c>
      <c r="D38" s="10" t="n"/>
      <c r="E38" s="10" t="n"/>
      <c r="F38" s="10" t="n"/>
      <c r="G38" s="10" t="n"/>
      <c r="H38" s="15" t="inlineStr">
        <is>
          <t>정다우</t>
        </is>
      </c>
      <c r="I38" s="16" t="n">
        <v>0</v>
      </c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7" t="n"/>
      <c r="BD38" s="17" t="n"/>
      <c r="BE38" s="17" t="n"/>
      <c r="BF38" s="17" t="n"/>
      <c r="BG38" s="17" t="n"/>
      <c r="BH38" s="13" t="n"/>
      <c r="BI38" s="13" t="n"/>
      <c r="BJ38" s="13" t="n"/>
      <c r="BK38" s="13" t="n"/>
      <c r="BL38" s="13" t="n"/>
      <c r="BM38" s="13" t="n"/>
      <c r="BN38" s="13" t="n"/>
      <c r="BO38" s="13" t="n"/>
      <c r="BP38" s="13" t="n"/>
      <c r="BQ38" s="13" t="n"/>
      <c r="BR38" s="13" t="n"/>
      <c r="BS38" s="13" t="n"/>
      <c r="BT38" s="13" t="n"/>
      <c r="BU38" s="13" t="n"/>
      <c r="BV38" s="13" t="n"/>
      <c r="BW38" s="13" t="n"/>
      <c r="BX38" s="13" t="n"/>
      <c r="BY38" s="13" t="n"/>
      <c r="BZ38" s="13" t="n"/>
      <c r="CA38" s="13" t="n"/>
      <c r="CB38" s="13" t="n"/>
      <c r="CC38" s="13" t="n"/>
      <c r="CD38" s="13" t="n"/>
      <c r="CE38" s="13" t="n"/>
      <c r="CF38" s="13" t="n"/>
    </row>
    <row r="39">
      <c r="A39" s="12" t="inlineStr">
        <is>
          <t>4.3</t>
        </is>
      </c>
      <c r="B39" s="13" t="n"/>
      <c r="C39" s="14" t="inlineStr">
        <is>
          <t>적재 파이프라인 (멱등·증분)</t>
        </is>
      </c>
      <c r="D39" s="10" t="n"/>
      <c r="E39" s="10" t="n"/>
      <c r="F39" s="10" t="n"/>
      <c r="G39" s="10" t="n"/>
      <c r="H39" s="15" t="inlineStr">
        <is>
          <t>정다우</t>
        </is>
      </c>
      <c r="I39" s="16" t="n">
        <v>0</v>
      </c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7" t="n"/>
      <c r="BD39" s="17" t="n"/>
      <c r="BE39" s="17" t="n"/>
      <c r="BF39" s="17" t="n"/>
      <c r="BG39" s="17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</row>
    <row r="40">
      <c r="A40" s="12" t="inlineStr">
        <is>
          <t>4.4</t>
        </is>
      </c>
      <c r="B40" s="13" t="n"/>
      <c r="C40" s="14" t="inlineStr">
        <is>
          <t>서버 동기화 송신·파생 메타 산출</t>
        </is>
      </c>
      <c r="D40" s="10" t="n"/>
      <c r="E40" s="10" t="n"/>
      <c r="F40" s="10" t="n"/>
      <c r="G40" s="10" t="n"/>
      <c r="H40" s="15" t="inlineStr">
        <is>
          <t>정다우</t>
        </is>
      </c>
      <c r="I40" s="16" t="n">
        <v>0</v>
      </c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7" t="n"/>
      <c r="BD40" s="17" t="n"/>
      <c r="BE40" s="17" t="n"/>
      <c r="BF40" s="17" t="n"/>
      <c r="BG40" s="17" t="n"/>
      <c r="BH40" s="13" t="n"/>
      <c r="BI40" s="13" t="n"/>
      <c r="BJ40" s="13" t="n"/>
      <c r="BK40" s="13" t="n"/>
      <c r="BL40" s="13" t="n"/>
      <c r="BM40" s="13" t="n"/>
      <c r="BN40" s="13" t="n"/>
      <c r="BO40" s="13" t="n"/>
      <c r="BP40" s="13" t="n"/>
      <c r="BQ40" s="13" t="n"/>
      <c r="BR40" s="13" t="n"/>
      <c r="BS40" s="13" t="n"/>
      <c r="BT40" s="13" t="n"/>
      <c r="BU40" s="13" t="n"/>
      <c r="BV40" s="13" t="n"/>
      <c r="BW40" s="13" t="n"/>
      <c r="BX40" s="13" t="n"/>
      <c r="BY40" s="13" t="n"/>
      <c r="BZ40" s="13" t="n"/>
      <c r="CA40" s="13" t="n"/>
      <c r="CB40" s="13" t="n"/>
      <c r="CC40" s="13" t="n"/>
      <c r="CD40" s="13" t="n"/>
      <c r="CE40" s="13" t="n"/>
      <c r="CF40" s="13" t="n"/>
    </row>
    <row r="41">
      <c r="A41" s="12" t="inlineStr">
        <is>
          <t>4.5</t>
        </is>
      </c>
      <c r="B41" s="13" t="n"/>
      <c r="C41" s="14" t="inlineStr">
        <is>
          <t>태그 양방향 동기화·충돌 해소(나중 수정 우선)</t>
        </is>
      </c>
      <c r="D41" s="10" t="n"/>
      <c r="E41" s="10" t="n"/>
      <c r="F41" s="10" t="n"/>
      <c r="G41" s="10" t="n"/>
      <c r="H41" s="15" t="inlineStr">
        <is>
          <t>정다우</t>
        </is>
      </c>
      <c r="I41" s="16" t="n">
        <v>0</v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7" t="n"/>
      <c r="BI41" s="17" t="n"/>
      <c r="BJ41" s="17" t="n"/>
      <c r="BK41" s="17" t="n"/>
      <c r="BL41" s="17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</row>
    <row r="42">
      <c r="A42" s="12" t="inlineStr">
        <is>
          <t>4.6</t>
        </is>
      </c>
      <c r="B42" s="13" t="n"/>
      <c r="C42" s="14" t="inlineStr">
        <is>
          <t>문서·파일 어댑터 (Drive/Docs)</t>
        </is>
      </c>
      <c r="D42" s="10" t="n"/>
      <c r="E42" s="10" t="n"/>
      <c r="F42" s="10" t="n"/>
      <c r="G42" s="10" t="n"/>
      <c r="H42" s="15" t="inlineStr">
        <is>
          <t>정다우</t>
        </is>
      </c>
      <c r="I42" s="16" t="n">
        <v>0</v>
      </c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13" t="n"/>
      <c r="BA42" s="13" t="n"/>
      <c r="BB42" s="13" t="n"/>
      <c r="BC42" s="13" t="n"/>
      <c r="BD42" s="13" t="n"/>
      <c r="BE42" s="13" t="n"/>
      <c r="BF42" s="13" t="n"/>
      <c r="BG42" s="13" t="n"/>
      <c r="BH42" s="13" t="n"/>
      <c r="BI42" s="13" t="n"/>
      <c r="BJ42" s="13" t="n"/>
      <c r="BK42" s="13" t="n"/>
      <c r="BL42" s="13" t="n"/>
      <c r="BM42" s="17" t="n"/>
      <c r="BN42" s="17" t="n"/>
      <c r="BO42" s="17" t="n"/>
      <c r="BP42" s="17" t="n"/>
      <c r="BQ42" s="17" t="n"/>
      <c r="BR42" s="13" t="n"/>
      <c r="BS42" s="13" t="n"/>
      <c r="BT42" s="13" t="n"/>
      <c r="BU42" s="13" t="n"/>
      <c r="BV42" s="13" t="n"/>
      <c r="BW42" s="13" t="n"/>
      <c r="BX42" s="13" t="n"/>
      <c r="BY42" s="13" t="n"/>
      <c r="BZ42" s="13" t="n"/>
      <c r="CA42" s="13" t="n"/>
      <c r="CB42" s="13" t="n"/>
      <c r="CC42" s="13" t="n"/>
      <c r="CD42" s="13" t="n"/>
      <c r="CE42" s="13" t="n"/>
      <c r="CF42" s="13" t="n"/>
    </row>
    <row r="43">
      <c r="A43" s="12" t="inlineStr">
        <is>
          <t>4.7</t>
        </is>
      </c>
      <c r="B43" s="13" t="n"/>
      <c r="C43" s="14" t="inlineStr">
        <is>
          <t>명령행 도구 (본문 검색·태그 부여)</t>
        </is>
      </c>
      <c r="D43" s="10" t="n"/>
      <c r="E43" s="10" t="n"/>
      <c r="F43" s="10" t="n"/>
      <c r="G43" s="10" t="n"/>
      <c r="H43" s="15" t="inlineStr">
        <is>
          <t>정다우</t>
        </is>
      </c>
      <c r="I43" s="16" t="n">
        <v>0</v>
      </c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7" t="n"/>
      <c r="BI43" s="17" t="n"/>
      <c r="BJ43" s="17" t="n"/>
      <c r="BK43" s="17" t="n"/>
      <c r="BL43" s="17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</row>
    <row r="44">
      <c r="A44" s="12" t="inlineStr">
        <is>
          <t>4.8</t>
        </is>
      </c>
      <c r="B44" s="13" t="n"/>
      <c r="C44" s="14" t="inlineStr">
        <is>
          <t>메일 어댑터 (Gmail)</t>
        </is>
      </c>
      <c r="D44" s="10" t="n"/>
      <c r="E44" s="10" t="n"/>
      <c r="F44" s="10" t="n"/>
      <c r="G44" s="10" t="n"/>
      <c r="H44" s="15" t="inlineStr">
        <is>
          <t>정다우</t>
        </is>
      </c>
      <c r="I44" s="16" t="n">
        <v>0</v>
      </c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13" t="n"/>
      <c r="BA44" s="13" t="n"/>
      <c r="BB44" s="13" t="n"/>
      <c r="BC44" s="13" t="n"/>
      <c r="BD44" s="13" t="n"/>
      <c r="BE44" s="13" t="n"/>
      <c r="BF44" s="13" t="n"/>
      <c r="BG44" s="13" t="n"/>
      <c r="BH44" s="13" t="n"/>
      <c r="BI44" s="13" t="n"/>
      <c r="BJ44" s="13" t="n"/>
      <c r="BK44" s="13" t="n"/>
      <c r="BL44" s="13" t="n"/>
      <c r="BM44" s="13" t="n"/>
      <c r="BN44" s="13" t="n"/>
      <c r="BO44" s="13" t="n"/>
      <c r="BP44" s="13" t="n"/>
      <c r="BQ44" s="13" t="n"/>
      <c r="BR44" s="17" t="n"/>
      <c r="BS44" s="17" t="n"/>
      <c r="BT44" s="17" t="n"/>
      <c r="BU44" s="17" t="n"/>
      <c r="BV44" s="17" t="n"/>
      <c r="BW44" s="13" t="n"/>
      <c r="BX44" s="13" t="n"/>
      <c r="BY44" s="13" t="n"/>
      <c r="BZ44" s="13" t="n"/>
      <c r="CA44" s="13" t="n"/>
      <c r="CB44" s="13" t="n"/>
      <c r="CC44" s="13" t="n"/>
      <c r="CD44" s="13" t="n"/>
      <c r="CE44" s="13" t="n"/>
      <c r="CF44" s="13" t="n"/>
    </row>
    <row r="45">
      <c r="A45" s="12" t="inlineStr">
        <is>
          <t>4.9</t>
        </is>
      </c>
      <c r="B45" s="13" t="n"/>
      <c r="C45" s="14" t="inlineStr">
        <is>
          <t>다중 PC 등록·전달 라우팅</t>
        </is>
      </c>
      <c r="D45" s="10" t="n"/>
      <c r="E45" s="10" t="n"/>
      <c r="F45" s="10" t="n"/>
      <c r="G45" s="10" t="n"/>
      <c r="H45" s="15" t="inlineStr">
        <is>
          <t>정다우</t>
        </is>
      </c>
      <c r="I45" s="16" t="n">
        <v>0</v>
      </c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7" t="n"/>
      <c r="BD45" s="17" t="n"/>
      <c r="BE45" s="17" t="n"/>
      <c r="BF45" s="17" t="n"/>
      <c r="BG45" s="17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</row>
    <row r="46">
      <c r="A46" s="7" t="inlineStr">
        <is>
          <t>5</t>
        </is>
      </c>
      <c r="B46" s="8" t="n"/>
      <c r="C46" s="9" t="inlineStr">
        <is>
          <t>웹 클라이언트 개발</t>
        </is>
      </c>
      <c r="D46" s="10" t="n"/>
      <c r="E46" s="10" t="n"/>
      <c r="F46" s="10" t="n"/>
      <c r="G46" s="10" t="n"/>
      <c r="H46" s="8" t="n"/>
      <c r="I46" s="11">
        <f>SUM(I47:I51)/COUNTA(I47:I51)</f>
        <v/>
      </c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</row>
    <row r="47">
      <c r="A47" s="12" t="inlineStr">
        <is>
          <t>5.1</t>
        </is>
      </c>
      <c r="B47" s="13" t="n"/>
      <c r="C47" s="14" t="inlineStr">
        <is>
          <t>로그인·세션</t>
        </is>
      </c>
      <c r="D47" s="10" t="n"/>
      <c r="E47" s="10" t="n"/>
      <c r="F47" s="10" t="n"/>
      <c r="G47" s="10" t="n"/>
      <c r="H47" s="15" t="inlineStr">
        <is>
          <t>정다우</t>
        </is>
      </c>
      <c r="I47" s="16" t="n">
        <v>0</v>
      </c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7" t="n"/>
      <c r="BI47" s="17" t="n"/>
      <c r="BJ47" s="17" t="n"/>
      <c r="BK47" s="17" t="n"/>
      <c r="BL47" s="17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</row>
    <row r="48">
      <c r="A48" s="12" t="inlineStr">
        <is>
          <t>5.2</t>
        </is>
      </c>
      <c r="B48" s="13" t="n"/>
      <c r="C48" s="14" t="inlineStr">
        <is>
          <t>채팅방·링크 목록 조회</t>
        </is>
      </c>
      <c r="D48" s="10" t="n"/>
      <c r="E48" s="10" t="n"/>
      <c r="F48" s="10" t="n"/>
      <c r="G48" s="10" t="n"/>
      <c r="H48" s="15" t="inlineStr">
        <is>
          <t>정다우</t>
        </is>
      </c>
      <c r="I48" s="16" t="n">
        <v>0</v>
      </c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13" t="n"/>
      <c r="BE48" s="13" t="n"/>
      <c r="BF48" s="13" t="n"/>
      <c r="BG48" s="13" t="n"/>
      <c r="BH48" s="17" t="n"/>
      <c r="BI48" s="17" t="n"/>
      <c r="BJ48" s="17" t="n"/>
      <c r="BK48" s="17" t="n"/>
      <c r="BL48" s="17" t="n"/>
      <c r="BM48" s="13" t="n"/>
      <c r="BN48" s="13" t="n"/>
      <c r="BO48" s="13" t="n"/>
      <c r="BP48" s="13" t="n"/>
      <c r="BQ48" s="13" t="n"/>
      <c r="BR48" s="13" t="n"/>
      <c r="BS48" s="13" t="n"/>
      <c r="BT48" s="13" t="n"/>
      <c r="BU48" s="13" t="n"/>
      <c r="BV48" s="13" t="n"/>
      <c r="BW48" s="13" t="n"/>
      <c r="BX48" s="13" t="n"/>
      <c r="BY48" s="13" t="n"/>
      <c r="BZ48" s="13" t="n"/>
      <c r="CA48" s="13" t="n"/>
      <c r="CB48" s="13" t="n"/>
      <c r="CC48" s="13" t="n"/>
      <c r="CD48" s="13" t="n"/>
      <c r="CE48" s="13" t="n"/>
      <c r="CF48" s="13" t="n"/>
    </row>
    <row r="49">
      <c r="A49" s="12" t="inlineStr">
        <is>
          <t>5.3</t>
        </is>
      </c>
      <c r="B49" s="13" t="n"/>
      <c r="C49" s="14" t="inlineStr">
        <is>
          <t>태그 편집</t>
        </is>
      </c>
      <c r="D49" s="10" t="n"/>
      <c r="E49" s="10" t="n"/>
      <c r="F49" s="10" t="n"/>
      <c r="G49" s="10" t="n"/>
      <c r="H49" s="15" t="inlineStr">
        <is>
          <t>정다우</t>
        </is>
      </c>
      <c r="I49" s="16" t="n">
        <v>0</v>
      </c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7" t="n"/>
      <c r="BI49" s="17" t="n"/>
      <c r="BJ49" s="17" t="n"/>
      <c r="BK49" s="17" t="n"/>
      <c r="BL49" s="17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</row>
    <row r="50">
      <c r="A50" s="12" t="inlineStr">
        <is>
          <t>5.4</t>
        </is>
      </c>
      <c r="B50" s="13" t="n"/>
      <c r="C50" s="14" t="inlineStr">
        <is>
          <t>파일 업로드·대상 PC 지정·전달 상태</t>
        </is>
      </c>
      <c r="D50" s="10" t="n"/>
      <c r="E50" s="10" t="n"/>
      <c r="F50" s="10" t="n"/>
      <c r="G50" s="10" t="n"/>
      <c r="H50" s="15" t="inlineStr">
        <is>
          <t>정다우</t>
        </is>
      </c>
      <c r="I50" s="16" t="n">
        <v>0</v>
      </c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13" t="n"/>
      <c r="BA50" s="13" t="n"/>
      <c r="BB50" s="13" t="n"/>
      <c r="BC50" s="13" t="n"/>
      <c r="BD50" s="13" t="n"/>
      <c r="BE50" s="13" t="n"/>
      <c r="BF50" s="13" t="n"/>
      <c r="BG50" s="13" t="n"/>
      <c r="BH50" s="17" t="n"/>
      <c r="BI50" s="17" t="n"/>
      <c r="BJ50" s="17" t="n"/>
      <c r="BK50" s="17" t="n"/>
      <c r="BL50" s="17" t="n"/>
      <c r="BM50" s="13" t="n"/>
      <c r="BN50" s="13" t="n"/>
      <c r="BO50" s="13" t="n"/>
      <c r="BP50" s="13" t="n"/>
      <c r="BQ50" s="13" t="n"/>
      <c r="BR50" s="13" t="n"/>
      <c r="BS50" s="13" t="n"/>
      <c r="BT50" s="13" t="n"/>
      <c r="BU50" s="13" t="n"/>
      <c r="BV50" s="13" t="n"/>
      <c r="BW50" s="13" t="n"/>
      <c r="BX50" s="13" t="n"/>
      <c r="BY50" s="13" t="n"/>
      <c r="BZ50" s="13" t="n"/>
      <c r="CA50" s="13" t="n"/>
      <c r="CB50" s="13" t="n"/>
      <c r="CC50" s="13" t="n"/>
      <c r="CD50" s="13" t="n"/>
      <c r="CE50" s="13" t="n"/>
      <c r="CF50" s="13" t="n"/>
    </row>
    <row r="51">
      <c r="A51" s="12" t="inlineStr">
        <is>
          <t>5.5</t>
        </is>
      </c>
      <c r="B51" s="13" t="n"/>
      <c r="C51" s="14" t="inlineStr">
        <is>
          <t>반응형 대응</t>
        </is>
      </c>
      <c r="D51" s="10" t="n"/>
      <c r="E51" s="10" t="n"/>
      <c r="F51" s="10" t="n"/>
      <c r="G51" s="10" t="n"/>
      <c r="H51" s="15" t="inlineStr">
        <is>
          <t>정다우</t>
        </is>
      </c>
      <c r="I51" s="16" t="n">
        <v>0</v>
      </c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7" t="n"/>
      <c r="BN51" s="17" t="n"/>
      <c r="BO51" s="17" t="n"/>
      <c r="BP51" s="17" t="n"/>
      <c r="BQ51" s="17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</row>
    <row r="52">
      <c r="A52" s="7" t="inlineStr">
        <is>
          <t>6</t>
        </is>
      </c>
      <c r="B52" s="8" t="n"/>
      <c r="C52" s="9" t="inlineStr">
        <is>
          <t>초기 일괄 적재</t>
        </is>
      </c>
      <c r="D52" s="10" t="n"/>
      <c r="E52" s="10" t="n"/>
      <c r="F52" s="10" t="n"/>
      <c r="G52" s="10" t="n"/>
      <c r="H52" s="8" t="n"/>
      <c r="I52" s="11">
        <f>SUM(I53:I55)/COUNTA(I53:I55)</f>
        <v/>
      </c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</row>
    <row r="53">
      <c r="A53" s="12" t="inlineStr">
        <is>
          <t>6.1</t>
        </is>
      </c>
      <c r="B53" s="13" t="n"/>
      <c r="C53" s="14" t="inlineStr">
        <is>
          <t>기존 축적 데이터 백업·추출</t>
        </is>
      </c>
      <c r="D53" s="10" t="n"/>
      <c r="E53" s="10" t="n"/>
      <c r="F53" s="10" t="n"/>
      <c r="G53" s="10" t="n"/>
      <c r="H53" s="15" t="inlineStr">
        <is>
          <t>정다우</t>
        </is>
      </c>
      <c r="I53" s="16" t="n">
        <v>0</v>
      </c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7" t="n"/>
      <c r="BN53" s="17" t="n"/>
      <c r="BO53" s="17" t="n"/>
      <c r="BP53" s="17" t="n"/>
      <c r="BQ53" s="17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</row>
    <row r="54">
      <c r="A54" s="12" t="inlineStr">
        <is>
          <t>6.2</t>
        </is>
      </c>
      <c r="B54" s="13" t="n"/>
      <c r="C54" s="14" t="inlineStr">
        <is>
          <t>스키마 매핑·일괄 적재 실행</t>
        </is>
      </c>
      <c r="D54" s="10" t="n"/>
      <c r="E54" s="10" t="n"/>
      <c r="F54" s="10" t="n"/>
      <c r="G54" s="10" t="n"/>
      <c r="H54" s="15" t="inlineStr">
        <is>
          <t>정다우</t>
        </is>
      </c>
      <c r="I54" s="16" t="n">
        <v>0</v>
      </c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7" t="n"/>
      <c r="BN54" s="17" t="n"/>
      <c r="BO54" s="17" t="n"/>
      <c r="BP54" s="17" t="n"/>
      <c r="BQ54" s="17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</row>
    <row r="55">
      <c r="A55" s="12" t="inlineStr">
        <is>
          <t>6.3</t>
        </is>
      </c>
      <c r="B55" s="13" t="n"/>
      <c r="C55" s="14" t="inlineStr">
        <is>
          <t>무결성 검증 (손실 0건)</t>
        </is>
      </c>
      <c r="D55" s="10" t="n"/>
      <c r="E55" s="10" t="n"/>
      <c r="F55" s="10" t="n"/>
      <c r="G55" s="10" t="n"/>
      <c r="H55" s="15" t="inlineStr">
        <is>
          <t>정다우</t>
        </is>
      </c>
      <c r="I55" s="16" t="n">
        <v>0</v>
      </c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7" t="n"/>
      <c r="BS55" s="17" t="n"/>
      <c r="BT55" s="17" t="n"/>
      <c r="BU55" s="17" t="n"/>
      <c r="BV55" s="17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</row>
    <row r="56">
      <c r="A56" s="7" t="inlineStr">
        <is>
          <t>7</t>
        </is>
      </c>
      <c r="B56" s="8" t="n"/>
      <c r="C56" s="9" t="inlineStr">
        <is>
          <t>통합 검증 및 이행</t>
        </is>
      </c>
      <c r="D56" s="10" t="n"/>
      <c r="E56" s="10" t="n"/>
      <c r="F56" s="10" t="n"/>
      <c r="G56" s="10" t="n"/>
      <c r="H56" s="8" t="n"/>
      <c r="I56" s="11">
        <f>SUM(I57:I61)/COUNTA(I57:I61)</f>
        <v/>
      </c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</row>
    <row r="57">
      <c r="A57" s="12" t="inlineStr">
        <is>
          <t>7.1</t>
        </is>
      </c>
      <c r="B57" s="13" t="n"/>
      <c r="C57" s="14" t="inlineStr">
        <is>
          <t>통합 테스트</t>
        </is>
      </c>
      <c r="D57" s="10" t="n"/>
      <c r="E57" s="10" t="n"/>
      <c r="F57" s="10" t="n"/>
      <c r="G57" s="10" t="n"/>
      <c r="H57" s="15" t="inlineStr">
        <is>
          <t>정다우</t>
        </is>
      </c>
      <c r="I57" s="16" t="n">
        <v>0</v>
      </c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  <c r="BK57" s="13" t="n"/>
      <c r="BL57" s="13" t="n"/>
      <c r="BM57" s="13" t="n"/>
      <c r="BN57" s="13" t="n"/>
      <c r="BO57" s="13" t="n"/>
      <c r="BP57" s="13" t="n"/>
      <c r="BQ57" s="13" t="n"/>
      <c r="BR57" s="13" t="n"/>
      <c r="BS57" s="13" t="n"/>
      <c r="BT57" s="13" t="n"/>
      <c r="BU57" s="13" t="n"/>
      <c r="BV57" s="13" t="n"/>
      <c r="BW57" s="17" t="n"/>
      <c r="BX57" s="17" t="n"/>
      <c r="BY57" s="17" t="n"/>
      <c r="BZ57" s="17" t="n"/>
      <c r="CA57" s="17" t="n"/>
      <c r="CB57" s="13" t="n"/>
      <c r="CC57" s="13" t="n"/>
      <c r="CD57" s="13" t="n"/>
      <c r="CE57" s="13" t="n"/>
      <c r="CF57" s="13" t="n"/>
    </row>
    <row r="58">
      <c r="A58" s="12" t="inlineStr">
        <is>
          <t>7.2</t>
        </is>
      </c>
      <c r="B58" s="13" t="n"/>
      <c r="C58" s="14" t="inlineStr">
        <is>
          <t>성능 측정 (조회 p95)·지표 산출</t>
        </is>
      </c>
      <c r="D58" s="10" t="n"/>
      <c r="E58" s="10" t="n"/>
      <c r="F58" s="10" t="n"/>
      <c r="G58" s="10" t="n"/>
      <c r="H58" s="15" t="inlineStr">
        <is>
          <t>정다우</t>
        </is>
      </c>
      <c r="I58" s="16" t="n">
        <v>0</v>
      </c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  <c r="BK58" s="13" t="n"/>
      <c r="BL58" s="13" t="n"/>
      <c r="BM58" s="13" t="n"/>
      <c r="BN58" s="13" t="n"/>
      <c r="BO58" s="13" t="n"/>
      <c r="BP58" s="13" t="n"/>
      <c r="BQ58" s="13" t="n"/>
      <c r="BR58" s="13" t="n"/>
      <c r="BS58" s="13" t="n"/>
      <c r="BT58" s="13" t="n"/>
      <c r="BU58" s="13" t="n"/>
      <c r="BV58" s="13" t="n"/>
      <c r="BW58" s="17" t="n"/>
      <c r="BX58" s="17" t="n"/>
      <c r="BY58" s="17" t="n"/>
      <c r="BZ58" s="17" t="n"/>
      <c r="CA58" s="17" t="n"/>
      <c r="CB58" s="13" t="n"/>
      <c r="CC58" s="13" t="n"/>
      <c r="CD58" s="13" t="n"/>
      <c r="CE58" s="13" t="n"/>
      <c r="CF58" s="13" t="n"/>
    </row>
    <row r="59">
      <c r="A59" s="12" t="inlineStr">
        <is>
          <t>7.3</t>
        </is>
      </c>
      <c r="B59" s="13" t="n"/>
      <c r="C59" s="14" t="inlineStr">
        <is>
          <t>테스트 수행계획서 작성</t>
        </is>
      </c>
      <c r="D59" s="10" t="n"/>
      <c r="E59" s="10" t="n"/>
      <c r="F59" s="10" t="n"/>
      <c r="G59" s="10" t="n"/>
      <c r="H59" s="15" t="inlineStr">
        <is>
          <t>정다우</t>
        </is>
      </c>
      <c r="I59" s="16" t="n">
        <v>0</v>
      </c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  <c r="BK59" s="13" t="n"/>
      <c r="BL59" s="13" t="n"/>
      <c r="BM59" s="13" t="n"/>
      <c r="BN59" s="13" t="n"/>
      <c r="BO59" s="13" t="n"/>
      <c r="BP59" s="13" t="n"/>
      <c r="BQ59" s="13" t="n"/>
      <c r="BR59" s="17" t="n"/>
      <c r="BS59" s="17" t="n"/>
      <c r="BT59" s="17" t="n"/>
      <c r="BU59" s="17" t="n"/>
      <c r="BV59" s="17" t="n"/>
      <c r="BW59" s="13" t="n"/>
      <c r="BX59" s="13" t="n"/>
      <c r="BY59" s="13" t="n"/>
      <c r="BZ59" s="13" t="n"/>
      <c r="CA59" s="13" t="n"/>
      <c r="CB59" s="13" t="n"/>
      <c r="CC59" s="13" t="n"/>
      <c r="CD59" s="13" t="n"/>
      <c r="CE59" s="13" t="n"/>
      <c r="CF59" s="13" t="n"/>
    </row>
    <row r="60">
      <c r="A60" s="12" t="inlineStr">
        <is>
          <t>7.4</t>
        </is>
      </c>
      <c r="B60" s="13" t="n"/>
      <c r="C60" s="14" t="inlineStr">
        <is>
          <t>문서화 (설계서·테스트 결과서)</t>
        </is>
      </c>
      <c r="D60" s="10" t="n"/>
      <c r="E60" s="10" t="n"/>
      <c r="F60" s="10" t="n"/>
      <c r="G60" s="10" t="n"/>
      <c r="H60" s="15" t="inlineStr">
        <is>
          <t>정다우</t>
        </is>
      </c>
      <c r="I60" s="16" t="n">
        <v>0</v>
      </c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  <c r="BK60" s="13" t="n"/>
      <c r="BL60" s="13" t="n"/>
      <c r="BM60" s="13" t="n"/>
      <c r="BN60" s="13" t="n"/>
      <c r="BO60" s="13" t="n"/>
      <c r="BP60" s="13" t="n"/>
      <c r="BQ60" s="13" t="n"/>
      <c r="BR60" s="13" t="n"/>
      <c r="BS60" s="13" t="n"/>
      <c r="BT60" s="13" t="n"/>
      <c r="BU60" s="13" t="n"/>
      <c r="BV60" s="13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</row>
    <row r="61">
      <c r="A61" s="12" t="inlineStr">
        <is>
          <t>7.5</t>
        </is>
      </c>
      <c r="B61" s="13" t="n"/>
      <c r="C61" s="14" t="inlineStr">
        <is>
          <t>발표 준비·제출</t>
        </is>
      </c>
      <c r="D61" s="10" t="n"/>
      <c r="E61" s="10" t="n"/>
      <c r="F61" s="10" t="n"/>
      <c r="G61" s="10" t="n"/>
      <c r="H61" s="15" t="inlineStr">
        <is>
          <t>정다우</t>
        </is>
      </c>
      <c r="I61" s="16" t="n">
        <v>0</v>
      </c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  <c r="BK61" s="13" t="n"/>
      <c r="BL61" s="13" t="n"/>
      <c r="BM61" s="13" t="n"/>
      <c r="BN61" s="13" t="n"/>
      <c r="BO61" s="13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7" t="n"/>
      <c r="CC61" s="17" t="n"/>
      <c r="CD61" s="17" t="n"/>
      <c r="CE61" s="17" t="n"/>
      <c r="CF61" s="17" t="n"/>
    </row>
    <row r="62">
      <c r="C62" s="18" t="inlineStr">
        <is>
          <t>전체 진척률</t>
        </is>
      </c>
      <c r="I62" s="19">
        <f>AVERAGE(I9,I10,I11,I12,I13,I14,I16,I17,I18,I19,I20,I21,I22,I23,I25,I26,I27,I28,I29,I30,I31,I32,I34,I35,I36,I37,I38,I39,I40,I41,I42,I43,I44,I45,I47,I48,I49,I50,I51,I53,I54,I55,I57,I58,I59,I60,I61)</f>
        <v/>
      </c>
    </row>
  </sheetData>
  <mergeCells count="79">
    <mergeCell ref="C58:G58"/>
    <mergeCell ref="BH7:BL7"/>
    <mergeCell ref="C14:G14"/>
    <mergeCell ref="C45:G45"/>
    <mergeCell ref="C29:G29"/>
    <mergeCell ref="BR7:BV7"/>
    <mergeCell ref="C47:G47"/>
    <mergeCell ref="C44:G44"/>
    <mergeCell ref="C31:G31"/>
    <mergeCell ref="C40:G40"/>
    <mergeCell ref="AD6:AW6"/>
    <mergeCell ref="C21:G21"/>
    <mergeCell ref="C60:G60"/>
    <mergeCell ref="AI7:AM7"/>
    <mergeCell ref="AS7:AW7"/>
    <mergeCell ref="C23:G23"/>
    <mergeCell ref="A6:B7"/>
    <mergeCell ref="I6:I7"/>
    <mergeCell ref="C57:G57"/>
    <mergeCell ref="C18:G18"/>
    <mergeCell ref="C34:G34"/>
    <mergeCell ref="C42:G42"/>
    <mergeCell ref="C20:G20"/>
    <mergeCell ref="D35:G35"/>
    <mergeCell ref="CB7:CF7"/>
    <mergeCell ref="C22:G22"/>
    <mergeCell ref="C59:G59"/>
    <mergeCell ref="C12:G12"/>
    <mergeCell ref="C46:G46"/>
    <mergeCell ref="D36:G36"/>
    <mergeCell ref="J7:N7"/>
    <mergeCell ref="C6:G7"/>
    <mergeCell ref="C51:G51"/>
    <mergeCell ref="C61:G61"/>
    <mergeCell ref="C39:G39"/>
    <mergeCell ref="C48:G48"/>
    <mergeCell ref="A2:I3"/>
    <mergeCell ref="C32:G32"/>
    <mergeCell ref="C38:G38"/>
    <mergeCell ref="D37:G37"/>
    <mergeCell ref="O7:S7"/>
    <mergeCell ref="C49:G49"/>
    <mergeCell ref="C24:G24"/>
    <mergeCell ref="C33:G33"/>
    <mergeCell ref="C26:G26"/>
    <mergeCell ref="C10:G10"/>
    <mergeCell ref="C16:G16"/>
    <mergeCell ref="C50:G50"/>
    <mergeCell ref="C25:G25"/>
    <mergeCell ref="BM7:BQ7"/>
    <mergeCell ref="C55:G55"/>
    <mergeCell ref="C9:G9"/>
    <mergeCell ref="AX7:BB7"/>
    <mergeCell ref="BR6:CF6"/>
    <mergeCell ref="C11:G11"/>
    <mergeCell ref="C52:G52"/>
    <mergeCell ref="T7:X7"/>
    <mergeCell ref="C28:G28"/>
    <mergeCell ref="C13:G13"/>
    <mergeCell ref="C30:G30"/>
    <mergeCell ref="C62:G62"/>
    <mergeCell ref="C15:G15"/>
    <mergeCell ref="H6:H7"/>
    <mergeCell ref="AX6:BQ6"/>
    <mergeCell ref="C54:G54"/>
    <mergeCell ref="BC7:BG7"/>
    <mergeCell ref="C41:G41"/>
    <mergeCell ref="J6:AC6"/>
    <mergeCell ref="BW7:CA7"/>
    <mergeCell ref="C56:G56"/>
    <mergeCell ref="C43:G43"/>
    <mergeCell ref="Y7:AC7"/>
    <mergeCell ref="C27:G27"/>
    <mergeCell ref="C8:G8"/>
    <mergeCell ref="C17:G17"/>
    <mergeCell ref="AD7:AH7"/>
    <mergeCell ref="AN7:AR7"/>
    <mergeCell ref="C19:G19"/>
    <mergeCell ref="C53:G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8.2" customWidth="1" min="1" max="1"/>
    <col width="155.1" customWidth="1" min="2" max="2"/>
  </cols>
  <sheetData>
    <row r="1">
      <c r="A1" s="20" t="inlineStr">
        <is>
          <t>용어 사전</t>
        </is>
      </c>
    </row>
    <row r="2"/>
    <row r="3"/>
    <row r="5" ht="27" customHeight="1">
      <c r="A5" s="21" t="inlineStr">
        <is>
          <t>맥락(context)</t>
        </is>
      </c>
      <c r="B5" s="22" t="inlineStr">
        <is>
          <t>업무 수행에 필요한 배경 정보. 메신저 대화·공유 문서·받은 파일 등 여러 소스에 흩어져 있고 일부는 시간이 지나면 사라진다.</t>
        </is>
      </c>
    </row>
    <row r="6" ht="27" customHeight="1">
      <c r="A6" s="21" t="inlineStr">
        <is>
          <t>컨텍스트 허브</t>
        </is>
      </c>
      <c r="B6" s="22" t="inlineStr">
        <is>
          <t>흩어진 맥락을 한곳에서 찾아 쓰게 하는 중계 지점. 이 시스템의 서버는 대화 본문을 보관하지 않고, 채팅방 목록·태그·링크·파생 메타·PC 정보·전달 큐를 모은다. 본문은 각 PC 에 남는다.</t>
        </is>
      </c>
    </row>
    <row r="7" ht="27" customHeight="1">
      <c r="A7" s="21" t="inlineStr">
        <is>
          <t>사내 산출물</t>
        </is>
      </c>
      <c r="B7" s="22" t="inlineStr">
        <is>
          <t>업무 과정에서 생성·공유되는 자료. 메신저 대화, 공유 문서, 주고받은 파일을 포함한다.</t>
        </is>
      </c>
    </row>
    <row r="8" ht="27" customHeight="1">
      <c r="A8" s="21" t="inlineStr">
        <is>
          <t>유일본</t>
        </is>
      </c>
      <c r="B8" s="22" t="inlineStr">
        <is>
          <t>원본이 이미 소멸해 사본만 남은 데이터. 메신저 원본이 일정 기간 뒤 삭제되므로 발생하며, 손실 시 복구가 불가능하다.</t>
        </is>
      </c>
    </row>
    <row r="9" ht="27" customHeight="1">
      <c r="A9" s="21" t="inlineStr">
        <is>
          <t>적재 깊이 원칙</t>
        </is>
      </c>
      <c r="B9" s="22" t="inlineStr">
        <is>
          <t>원본의 휘발성이 적재 깊이를 정한다는 설계 원칙. 사라지는 원본(메신저 대화)은 본문까지, 남아 있는 원본(문서·파일)은 링크와 메타데이터만 담는다.</t>
        </is>
      </c>
    </row>
    <row r="10" ht="27" customHeight="1">
      <c r="A10" s="21" t="inlineStr">
        <is>
          <t>멱등 적재</t>
        </is>
      </c>
      <c r="B10" s="22" t="inlineStr">
        <is>
          <t>같은 원본을 여러 번 적재해도 결과가 달라지지 않는 성질. 식별 해시와 UNIQUE 제약으로 보장한다.</t>
        </is>
      </c>
    </row>
    <row r="11" ht="27" customHeight="1">
      <c r="A11" s="21" t="inlineStr">
        <is>
          <t>external_id</t>
        </is>
      </c>
      <c r="B11" s="22" t="inlineStr">
        <is>
          <t>맥락 항목의 중복 판별 키. sha1(채널|시각|발화자|내용) 으로 만들며 PC 가 달라도 같은 값이 나온다.</t>
        </is>
      </c>
    </row>
    <row r="12" ht="27" customHeight="1">
      <c r="A12" s="21" t="inlineStr">
        <is>
          <t>FTS5</t>
        </is>
      </c>
      <c r="B12" s="22" t="inlineStr">
        <is>
          <t>SQLite 의 전문검색(Full-Text Search) 확장. 대화 본문 키워드 검색에 사용한다.</t>
        </is>
      </c>
    </row>
    <row r="13" ht="27" customHeight="1">
      <c r="A13" s="21" t="inlineStr">
        <is>
          <t>PC 에이전트</t>
        </is>
      </c>
      <c r="B13" s="22" t="inlineStr">
        <is>
          <t>서버와 사용자 PC 를 잇는 상주 프로그램. 로그를 적재해 서버로 올리고, 서버에서 내려온 파일을 받아 에이전트에게 전달한다.</t>
        </is>
      </c>
    </row>
    <row r="14" ht="27" customHeight="1">
      <c r="A14" s="21" t="inlineStr">
        <is>
          <t>폴링(polling)</t>
        </is>
      </c>
      <c r="B14" s="22" t="inlineStr">
        <is>
          <t>PC 가 서버에 주기적으로 작업 유무를 묻는 방식. 사내망 NAT·방화벽 때문에 서버가 PC 로 직접 보내는(push) 방식을 쓸 수 없어 채택했다.</t>
        </is>
      </c>
    </row>
    <row r="15" ht="27" customHeight="1">
      <c r="A15" s="21" t="inlineStr">
        <is>
          <t>기기 인증</t>
        </is>
      </c>
      <c r="B15" s="22" t="inlineStr">
        <is>
          <t>해당 PC 가 사용자 본인의 PC 임을 증명하는 절차. 사용자 로그인(Google OAuth)과는 별개 층이며, 페어링 코드로 등록한 뒤 기기 토큰으로 인증한다.</t>
        </is>
      </c>
    </row>
    <row r="16" ht="27" customHeight="1">
      <c r="A16" s="21" t="inlineStr">
        <is>
          <t>파생 메타</t>
        </is>
      </c>
      <c r="B16" s="22" t="inlineStr">
        <is>
          <t>대화 본문이 아닌 요약 정보(참여자·최근 활동일·메시지 건수). 본문을 서버에 올리지 않고도 채팅방을 식별해 태그를 붙이기 위해 사용한다.</t>
        </is>
      </c>
    </row>
    <row r="17" ht="27" customHeight="1">
      <c r="A17" s="21" t="inlineStr">
        <is>
          <t>태그</t>
        </is>
      </c>
      <c r="B17" s="22" t="inlineStr">
        <is>
          <t>채팅방 단위로 부여하는 분류 표지. 개별 메시지가 아니라 채팅방에 붙인다.</t>
        </is>
      </c>
    </row>
    <row r="18" ht="27" customHeight="1">
      <c r="A18" s="21" t="inlineStr">
        <is>
          <t>OAuth 2.0</t>
        </is>
      </c>
      <c r="B18" s="22" t="inlineStr">
        <is>
          <t>외부 인증 서버에 인증을 위임하는 표준 절차. Google 이 인증 주체이고 이 시스템의 서버는 그 앞의 클라이언트로 동작한다.</t>
        </is>
      </c>
    </row>
    <row r="19" ht="27" customHeight="1">
      <c r="A19" s="21" t="inlineStr">
        <is>
          <t>refresh token</t>
        </is>
      </c>
      <c r="B19" s="22" t="inlineStr">
        <is>
          <t>access token 이 만료됐을 때 사용자 개입 없이 재발급받는 자격증명. 서버 밖으로 내보내지 않는다.</t>
        </is>
      </c>
    </row>
    <row r="20" ht="27" customHeight="1">
      <c r="A20" s="21" t="inlineStr">
        <is>
          <t>임계경로</t>
        </is>
      </c>
      <c r="B20" s="22" t="inlineStr">
        <is>
          <t>가장 긴 의존 사슬. 이 경로가 밀리면 전체 일정이 밀린다. 본 프로젝트는 제약 확인 → 아키텍처 설계 → 인증 → 기기 인증 → PC 에이전트 → 전송 화면 → 통합 검증 → 발표.</t>
        </is>
      </c>
    </row>
  </sheetData>
  <mergeCells count="1">
    <mergeCell ref="A1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2026-09-16T08:52:07Z</dcterms:created>
  <dcterms:modified xmlns:dcterms="http://purl.org/dc/terms/" xmlns:xsi="http://www.w3.org/2001/XMLSchema-instance" xsi:type="dcterms:W3CDTF">2026-09-16T08:52:07Z</dcterms:modified>
</cp:coreProperties>
</file>